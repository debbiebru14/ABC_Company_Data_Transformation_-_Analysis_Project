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708fa56a9d8b8a82/Per Scholas/Projects and Assignments/Wk_8_May18_thru_May22/"/>
    </mc:Choice>
  </mc:AlternateContent>
  <xr:revisionPtr revIDLastSave="958" documentId="8_{7558648D-DAEF-4271-AB92-5272B3CF597B}" xr6:coauthVersionLast="47" xr6:coauthVersionMax="47" xr10:uidLastSave="{609D145B-5592-4591-BF4A-E7F594FE8F11}"/>
  <bookViews>
    <workbookView xWindow="-28920" yWindow="-120" windowWidth="29040" windowHeight="15720" tabRatio="732" firstSheet="1" activeTab="1" xr2:uid="{04F080C3-50B4-4C39-A6ED-DA8E17B569D4}"/>
  </bookViews>
  <sheets>
    <sheet name="Sheet1" sheetId="1" state="hidden" r:id="rId1"/>
    <sheet name="Data Set" sheetId="2" r:id="rId2"/>
    <sheet name="Salary &amp; Performance" sheetId="4" r:id="rId3"/>
    <sheet name="Loans by Dept" sheetId="7" r:id="rId4"/>
    <sheet name="Employee Tenure" sheetId="8" r:id="rId5"/>
    <sheet name="Tenure vs Performance" sheetId="9" r:id="rId6"/>
    <sheet name="Data Set Analysis Annex" sheetId="10" r:id="rId7"/>
  </sheets>
  <definedNames>
    <definedName name="_xlnm._FilterDatabase" localSheetId="1" hidden="1">'Data Set'!$C$117:$F$217</definedName>
    <definedName name="Slicer_Region">#N/A</definedName>
  </definedNames>
  <calcPr calcId="191029"/>
  <pivotCaches>
    <pivotCache cacheId="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17" i="10" l="1"/>
  <c r="AF3" i="10"/>
  <c r="AF4" i="10"/>
  <c r="AC10" i="10"/>
  <c r="AC4" i="10"/>
  <c r="AC8" i="10"/>
  <c r="AC6" i="10"/>
  <c r="AC7" i="10"/>
  <c r="AC9" i="10"/>
  <c r="AC3" i="10"/>
  <c r="AC5" i="10"/>
  <c r="Z5" i="10"/>
  <c r="Z3" i="10"/>
  <c r="A15" i="10" s="1"/>
  <c r="Z4" i="10"/>
  <c r="Z6" i="10"/>
  <c r="W4" i="10"/>
  <c r="W7" i="10"/>
  <c r="W3" i="10"/>
  <c r="A14" i="10" s="1"/>
  <c r="W5" i="10"/>
  <c r="W6" i="10"/>
  <c r="W8" i="10"/>
  <c r="W9" i="10"/>
  <c r="W10" i="10"/>
  <c r="C8" i="10"/>
  <c r="A8" i="10"/>
  <c r="G5" i="10"/>
  <c r="E5" i="10"/>
  <c r="C5" i="10"/>
  <c r="A5" i="10"/>
  <c r="A11" i="10"/>
  <c r="I114"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I106" i="2"/>
  <c r="I107" i="2"/>
  <c r="I108" i="2"/>
  <c r="I109" i="2"/>
  <c r="I110" i="2"/>
  <c r="I111" i="2"/>
  <c r="I112" i="2"/>
  <c r="I113" i="2"/>
  <c r="I105"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I104"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Z101" i="2"/>
  <c r="X101" i="2"/>
  <c r="Y101" i="2" s="1"/>
  <c r="L101" i="2"/>
  <c r="F101" i="2"/>
  <c r="B101" i="2"/>
  <c r="Z100" i="2"/>
  <c r="X100" i="2"/>
  <c r="Y100" i="2" s="1"/>
  <c r="L100" i="2"/>
  <c r="F100" i="2"/>
  <c r="B100" i="2"/>
  <c r="Z99" i="2"/>
  <c r="X99" i="2"/>
  <c r="Y99" i="2" s="1"/>
  <c r="L99" i="2"/>
  <c r="F99" i="2"/>
  <c r="B99" i="2"/>
  <c r="Z98" i="2"/>
  <c r="X98" i="2"/>
  <c r="Y98" i="2" s="1"/>
  <c r="L98" i="2"/>
  <c r="F98" i="2"/>
  <c r="B98" i="2"/>
  <c r="Z97" i="2"/>
  <c r="X97" i="2"/>
  <c r="Y97" i="2" s="1"/>
  <c r="L97" i="2"/>
  <c r="F97" i="2"/>
  <c r="B97" i="2"/>
  <c r="Z96" i="2"/>
  <c r="X96" i="2"/>
  <c r="Y96" i="2" s="1"/>
  <c r="L96" i="2"/>
  <c r="F96" i="2"/>
  <c r="B96" i="2"/>
  <c r="Z95" i="2"/>
  <c r="X95" i="2"/>
  <c r="Y95" i="2" s="1"/>
  <c r="L95" i="2"/>
  <c r="F95" i="2"/>
  <c r="B95" i="2"/>
  <c r="Z94" i="2"/>
  <c r="X94" i="2"/>
  <c r="Y94" i="2" s="1"/>
  <c r="L94" i="2"/>
  <c r="F94" i="2"/>
  <c r="B94" i="2"/>
  <c r="Z93" i="2"/>
  <c r="X93" i="2"/>
  <c r="Y93" i="2" s="1"/>
  <c r="L93" i="2"/>
  <c r="F93" i="2"/>
  <c r="B93" i="2"/>
  <c r="Z92" i="2"/>
  <c r="X92" i="2"/>
  <c r="Y92" i="2" s="1"/>
  <c r="L92" i="2"/>
  <c r="F92" i="2"/>
  <c r="B92" i="2"/>
  <c r="Z91" i="2"/>
  <c r="X91" i="2"/>
  <c r="Y91" i="2" s="1"/>
  <c r="L91" i="2"/>
  <c r="F91" i="2"/>
  <c r="B91" i="2"/>
  <c r="Z90" i="2"/>
  <c r="X90" i="2"/>
  <c r="Y90" i="2" s="1"/>
  <c r="L90" i="2"/>
  <c r="F90" i="2"/>
  <c r="B90" i="2"/>
  <c r="Z89" i="2"/>
  <c r="X89" i="2"/>
  <c r="Y89" i="2" s="1"/>
  <c r="L89" i="2"/>
  <c r="F89" i="2"/>
  <c r="B89" i="2"/>
  <c r="Z88" i="2"/>
  <c r="X88" i="2"/>
  <c r="Y88" i="2" s="1"/>
  <c r="L88" i="2"/>
  <c r="F88" i="2"/>
  <c r="B88" i="2"/>
  <c r="Z87" i="2"/>
  <c r="X87" i="2"/>
  <c r="Y87" i="2" s="1"/>
  <c r="L87" i="2"/>
  <c r="F87" i="2"/>
  <c r="B87" i="2"/>
  <c r="Z86" i="2"/>
  <c r="X86" i="2"/>
  <c r="Y86" i="2" s="1"/>
  <c r="L86" i="2"/>
  <c r="F86" i="2"/>
  <c r="B86" i="2"/>
  <c r="Z85" i="2"/>
  <c r="X85" i="2"/>
  <c r="Y85" i="2" s="1"/>
  <c r="L85" i="2"/>
  <c r="F85" i="2"/>
  <c r="B85" i="2"/>
  <c r="Z84" i="2"/>
  <c r="X84" i="2"/>
  <c r="Y84" i="2" s="1"/>
  <c r="L84" i="2"/>
  <c r="F84" i="2"/>
  <c r="B84" i="2"/>
  <c r="Z83" i="2"/>
  <c r="X83" i="2"/>
  <c r="Y83" i="2" s="1"/>
  <c r="L83" i="2"/>
  <c r="F83" i="2"/>
  <c r="B83" i="2"/>
  <c r="Z82" i="2"/>
  <c r="X82" i="2"/>
  <c r="Y82" i="2" s="1"/>
  <c r="L82" i="2"/>
  <c r="F82" i="2"/>
  <c r="B82" i="2"/>
  <c r="Z81" i="2"/>
  <c r="X81" i="2"/>
  <c r="Y81" i="2" s="1"/>
  <c r="L81" i="2"/>
  <c r="F81" i="2"/>
  <c r="B81" i="2"/>
  <c r="Z80" i="2"/>
  <c r="X80" i="2"/>
  <c r="Y80" i="2" s="1"/>
  <c r="L80" i="2"/>
  <c r="F80" i="2"/>
  <c r="B80" i="2"/>
  <c r="Z79" i="2"/>
  <c r="X79" i="2"/>
  <c r="Y79" i="2" s="1"/>
  <c r="L79" i="2"/>
  <c r="F79" i="2"/>
  <c r="B79" i="2"/>
  <c r="Z78" i="2"/>
  <c r="X78" i="2"/>
  <c r="Y78" i="2" s="1"/>
  <c r="L78" i="2"/>
  <c r="F78" i="2"/>
  <c r="B78" i="2"/>
  <c r="Z77" i="2"/>
  <c r="X77" i="2"/>
  <c r="Y77" i="2" s="1"/>
  <c r="L77" i="2"/>
  <c r="F77" i="2"/>
  <c r="B77" i="2"/>
  <c r="Z76" i="2"/>
  <c r="X76" i="2"/>
  <c r="Y76" i="2" s="1"/>
  <c r="L76" i="2"/>
  <c r="F76" i="2"/>
  <c r="B76" i="2"/>
  <c r="Z75" i="2"/>
  <c r="X75" i="2"/>
  <c r="Y75" i="2" s="1"/>
  <c r="L75" i="2"/>
  <c r="F75" i="2"/>
  <c r="B75" i="2"/>
  <c r="Z74" i="2"/>
  <c r="X74" i="2"/>
  <c r="Y74" i="2" s="1"/>
  <c r="L74" i="2"/>
  <c r="F74" i="2"/>
  <c r="B74" i="2"/>
  <c r="Z73" i="2"/>
  <c r="X73" i="2"/>
  <c r="Y73" i="2" s="1"/>
  <c r="L73" i="2"/>
  <c r="F73" i="2"/>
  <c r="B73" i="2"/>
  <c r="Z72" i="2"/>
  <c r="X72" i="2"/>
  <c r="Y72" i="2" s="1"/>
  <c r="L72" i="2"/>
  <c r="F72" i="2"/>
  <c r="B72" i="2"/>
  <c r="Z71" i="2"/>
  <c r="X71" i="2"/>
  <c r="Y71" i="2" s="1"/>
  <c r="L71" i="2"/>
  <c r="F71" i="2"/>
  <c r="B71" i="2"/>
  <c r="Z70" i="2"/>
  <c r="X70" i="2"/>
  <c r="Y70" i="2" s="1"/>
  <c r="L70" i="2"/>
  <c r="F70" i="2"/>
  <c r="B70" i="2"/>
  <c r="Z69" i="2"/>
  <c r="X69" i="2"/>
  <c r="Y69" i="2" s="1"/>
  <c r="L69" i="2"/>
  <c r="F69" i="2"/>
  <c r="B69" i="2"/>
  <c r="Z68" i="2"/>
  <c r="X68" i="2"/>
  <c r="Y68" i="2" s="1"/>
  <c r="L68" i="2"/>
  <c r="F68" i="2"/>
  <c r="B68" i="2"/>
  <c r="Z67" i="2"/>
  <c r="X67" i="2"/>
  <c r="Y67" i="2" s="1"/>
  <c r="L67" i="2"/>
  <c r="F67" i="2"/>
  <c r="B67" i="2"/>
  <c r="Z66" i="2"/>
  <c r="X66" i="2"/>
  <c r="Y66" i="2" s="1"/>
  <c r="L66" i="2"/>
  <c r="F66" i="2"/>
  <c r="B66" i="2"/>
  <c r="Z65" i="2"/>
  <c r="X65" i="2"/>
  <c r="Y65" i="2" s="1"/>
  <c r="L65" i="2"/>
  <c r="F65" i="2"/>
  <c r="B65" i="2"/>
  <c r="Z64" i="2"/>
  <c r="X64" i="2"/>
  <c r="Y64" i="2" s="1"/>
  <c r="L64" i="2"/>
  <c r="F64" i="2"/>
  <c r="B64" i="2"/>
  <c r="Z63" i="2"/>
  <c r="X63" i="2"/>
  <c r="Y63" i="2" s="1"/>
  <c r="L63" i="2"/>
  <c r="F63" i="2"/>
  <c r="B63" i="2"/>
  <c r="Z62" i="2"/>
  <c r="X62" i="2"/>
  <c r="Y62" i="2" s="1"/>
  <c r="L62" i="2"/>
  <c r="F62" i="2"/>
  <c r="B62" i="2"/>
  <c r="Z61" i="2"/>
  <c r="X61" i="2"/>
  <c r="Y61" i="2" s="1"/>
  <c r="L61" i="2"/>
  <c r="F61" i="2"/>
  <c r="B61" i="2"/>
  <c r="Z60" i="2"/>
  <c r="X60" i="2"/>
  <c r="Y60" i="2" s="1"/>
  <c r="L60" i="2"/>
  <c r="F60" i="2"/>
  <c r="B60" i="2"/>
  <c r="Z59" i="2"/>
  <c r="X59" i="2"/>
  <c r="Y59" i="2" s="1"/>
  <c r="L59" i="2"/>
  <c r="F59" i="2"/>
  <c r="B59" i="2"/>
  <c r="Z58" i="2"/>
  <c r="X58" i="2"/>
  <c r="Y58" i="2" s="1"/>
  <c r="L58" i="2"/>
  <c r="F58" i="2"/>
  <c r="B58" i="2"/>
  <c r="Z57" i="2"/>
  <c r="X57" i="2"/>
  <c r="Y57" i="2" s="1"/>
  <c r="L57" i="2"/>
  <c r="F57" i="2"/>
  <c r="B57" i="2"/>
  <c r="Z56" i="2"/>
  <c r="X56" i="2"/>
  <c r="Y56" i="2" s="1"/>
  <c r="L56" i="2"/>
  <c r="F56" i="2"/>
  <c r="B56" i="2"/>
  <c r="Z55" i="2"/>
  <c r="X55" i="2"/>
  <c r="Y55" i="2" s="1"/>
  <c r="L55" i="2"/>
  <c r="F55" i="2"/>
  <c r="B55" i="2"/>
  <c r="Z54" i="2"/>
  <c r="X54" i="2"/>
  <c r="Y54" i="2" s="1"/>
  <c r="L54" i="2"/>
  <c r="F54" i="2"/>
  <c r="B54" i="2"/>
  <c r="Z53" i="2"/>
  <c r="X53" i="2"/>
  <c r="Y53" i="2" s="1"/>
  <c r="L53" i="2"/>
  <c r="F53" i="2"/>
  <c r="B53" i="2"/>
  <c r="Z52" i="2"/>
  <c r="X52" i="2"/>
  <c r="Y52" i="2" s="1"/>
  <c r="L52" i="2"/>
  <c r="F52" i="2"/>
  <c r="B52" i="2"/>
  <c r="Z51" i="2"/>
  <c r="X51" i="2"/>
  <c r="Y51" i="2" s="1"/>
  <c r="L51" i="2"/>
  <c r="F51" i="2"/>
  <c r="B51" i="2"/>
  <c r="Z50" i="2"/>
  <c r="X50" i="2"/>
  <c r="Y50" i="2" s="1"/>
  <c r="L50" i="2"/>
  <c r="F50" i="2"/>
  <c r="B50" i="2"/>
  <c r="Z49" i="2"/>
  <c r="X49" i="2"/>
  <c r="Y49" i="2" s="1"/>
  <c r="L49" i="2"/>
  <c r="F49" i="2"/>
  <c r="B49" i="2"/>
  <c r="Z48" i="2"/>
  <c r="X48" i="2"/>
  <c r="Y48" i="2" s="1"/>
  <c r="L48" i="2"/>
  <c r="F48" i="2"/>
  <c r="B48" i="2"/>
  <c r="Z47" i="2"/>
  <c r="X47" i="2"/>
  <c r="Y47" i="2" s="1"/>
  <c r="L47" i="2"/>
  <c r="F47" i="2"/>
  <c r="B47" i="2"/>
  <c r="Z46" i="2"/>
  <c r="X46" i="2"/>
  <c r="Y46" i="2" s="1"/>
  <c r="L46" i="2"/>
  <c r="F46" i="2"/>
  <c r="B46" i="2"/>
  <c r="Z45" i="2"/>
  <c r="X45" i="2"/>
  <c r="Y45" i="2" s="1"/>
  <c r="L45" i="2"/>
  <c r="F45" i="2"/>
  <c r="B45" i="2"/>
  <c r="Z44" i="2"/>
  <c r="X44" i="2"/>
  <c r="Y44" i="2" s="1"/>
  <c r="L44" i="2"/>
  <c r="F44" i="2"/>
  <c r="B44" i="2"/>
  <c r="Z43" i="2"/>
  <c r="X43" i="2"/>
  <c r="Y43" i="2" s="1"/>
  <c r="L43" i="2"/>
  <c r="F43" i="2"/>
  <c r="B43" i="2"/>
  <c r="Z42" i="2"/>
  <c r="X42" i="2"/>
  <c r="Y42" i="2" s="1"/>
  <c r="L42" i="2"/>
  <c r="F42" i="2"/>
  <c r="B42" i="2"/>
  <c r="Z41" i="2"/>
  <c r="X41" i="2"/>
  <c r="Y41" i="2" s="1"/>
  <c r="L41" i="2"/>
  <c r="F41" i="2"/>
  <c r="B41" i="2"/>
  <c r="Z40" i="2"/>
  <c r="X40" i="2"/>
  <c r="Y40" i="2" s="1"/>
  <c r="L40" i="2"/>
  <c r="F40" i="2"/>
  <c r="B40" i="2"/>
  <c r="Z39" i="2"/>
  <c r="X39" i="2"/>
  <c r="Y39" i="2" s="1"/>
  <c r="L39" i="2"/>
  <c r="F39" i="2"/>
  <c r="B39" i="2"/>
  <c r="Z38" i="2"/>
  <c r="X38" i="2"/>
  <c r="Y38" i="2" s="1"/>
  <c r="L38" i="2"/>
  <c r="F38" i="2"/>
  <c r="B38" i="2"/>
  <c r="Z37" i="2"/>
  <c r="X37" i="2"/>
  <c r="Y37" i="2" s="1"/>
  <c r="L37" i="2"/>
  <c r="F37" i="2"/>
  <c r="B37" i="2"/>
  <c r="Z36" i="2"/>
  <c r="X36" i="2"/>
  <c r="Y36" i="2" s="1"/>
  <c r="L36" i="2"/>
  <c r="F36" i="2"/>
  <c r="B36" i="2"/>
  <c r="Z35" i="2"/>
  <c r="X35" i="2"/>
  <c r="Y35" i="2" s="1"/>
  <c r="L35" i="2"/>
  <c r="F35" i="2"/>
  <c r="B35" i="2"/>
  <c r="Z34" i="2"/>
  <c r="X34" i="2"/>
  <c r="Y34" i="2" s="1"/>
  <c r="L34" i="2"/>
  <c r="F34" i="2"/>
  <c r="B34" i="2"/>
  <c r="Z33" i="2"/>
  <c r="X33" i="2"/>
  <c r="Y33" i="2" s="1"/>
  <c r="L33" i="2"/>
  <c r="F33" i="2"/>
  <c r="B33" i="2"/>
  <c r="Z32" i="2"/>
  <c r="X32" i="2"/>
  <c r="Y32" i="2" s="1"/>
  <c r="L32" i="2"/>
  <c r="F32" i="2"/>
  <c r="B32" i="2"/>
  <c r="Z31" i="2"/>
  <c r="X31" i="2"/>
  <c r="Y31" i="2" s="1"/>
  <c r="L31" i="2"/>
  <c r="F31" i="2"/>
  <c r="B31" i="2"/>
  <c r="Z30" i="2"/>
  <c r="X30" i="2"/>
  <c r="Y30" i="2" s="1"/>
  <c r="L30" i="2"/>
  <c r="F30" i="2"/>
  <c r="B30" i="2"/>
  <c r="Z29" i="2"/>
  <c r="X29" i="2"/>
  <c r="Y29" i="2" s="1"/>
  <c r="L29" i="2"/>
  <c r="F29" i="2"/>
  <c r="B29" i="2"/>
  <c r="Z28" i="2"/>
  <c r="X28" i="2"/>
  <c r="Y28" i="2" s="1"/>
  <c r="L28" i="2"/>
  <c r="F28" i="2"/>
  <c r="B28" i="2"/>
  <c r="Z27" i="2"/>
  <c r="X27" i="2"/>
  <c r="Y27" i="2" s="1"/>
  <c r="L27" i="2"/>
  <c r="F27" i="2"/>
  <c r="B27" i="2"/>
  <c r="Z26" i="2"/>
  <c r="X26" i="2"/>
  <c r="Y26" i="2" s="1"/>
  <c r="L26" i="2"/>
  <c r="F26" i="2"/>
  <c r="B26" i="2"/>
  <c r="Z25" i="2"/>
  <c r="X25" i="2"/>
  <c r="Y25" i="2" s="1"/>
  <c r="L25" i="2"/>
  <c r="F25" i="2"/>
  <c r="B25" i="2"/>
  <c r="Z24" i="2"/>
  <c r="X24" i="2"/>
  <c r="Y24" i="2" s="1"/>
  <c r="L24" i="2"/>
  <c r="F24" i="2"/>
  <c r="B24" i="2"/>
  <c r="Z23" i="2"/>
  <c r="X23" i="2"/>
  <c r="Y23" i="2" s="1"/>
  <c r="L23" i="2"/>
  <c r="F23" i="2"/>
  <c r="B23" i="2"/>
  <c r="Z22" i="2"/>
  <c r="X22" i="2"/>
  <c r="Y22" i="2" s="1"/>
  <c r="L22" i="2"/>
  <c r="F22" i="2"/>
  <c r="B22" i="2"/>
  <c r="Z21" i="2"/>
  <c r="X21" i="2"/>
  <c r="Y21" i="2" s="1"/>
  <c r="L21" i="2"/>
  <c r="F21" i="2"/>
  <c r="B21" i="2"/>
  <c r="Z20" i="2"/>
  <c r="X20" i="2"/>
  <c r="Y20" i="2" s="1"/>
  <c r="L20" i="2"/>
  <c r="F20" i="2"/>
  <c r="B20" i="2"/>
  <c r="Z19" i="2"/>
  <c r="X19" i="2"/>
  <c r="Y19" i="2" s="1"/>
  <c r="L19" i="2"/>
  <c r="F19" i="2"/>
  <c r="B19" i="2"/>
  <c r="Z18" i="2"/>
  <c r="X18" i="2"/>
  <c r="Y18" i="2" s="1"/>
  <c r="L18" i="2"/>
  <c r="F18" i="2"/>
  <c r="B18" i="2"/>
  <c r="Z17" i="2"/>
  <c r="X17" i="2"/>
  <c r="Y17" i="2" s="1"/>
  <c r="L17" i="2"/>
  <c r="F17" i="2"/>
  <c r="B17" i="2"/>
  <c r="Z16" i="2"/>
  <c r="X16" i="2"/>
  <c r="Y16" i="2" s="1"/>
  <c r="L16" i="2"/>
  <c r="F16" i="2"/>
  <c r="B16" i="2"/>
  <c r="Z15" i="2"/>
  <c r="X15" i="2"/>
  <c r="Y15" i="2" s="1"/>
  <c r="L15" i="2"/>
  <c r="F15" i="2"/>
  <c r="B15" i="2"/>
  <c r="Z14" i="2"/>
  <c r="X14" i="2"/>
  <c r="Y14" i="2" s="1"/>
  <c r="L14" i="2"/>
  <c r="F14" i="2"/>
  <c r="B14" i="2"/>
  <c r="Z13" i="2"/>
  <c r="X13" i="2"/>
  <c r="Y13" i="2" s="1"/>
  <c r="L13" i="2"/>
  <c r="F13" i="2"/>
  <c r="B13" i="2"/>
  <c r="Z12" i="2"/>
  <c r="X12" i="2"/>
  <c r="Y12" i="2" s="1"/>
  <c r="L12" i="2"/>
  <c r="F12" i="2"/>
  <c r="B12" i="2"/>
  <c r="Z11" i="2"/>
  <c r="X11" i="2"/>
  <c r="Y11" i="2" s="1"/>
  <c r="L11" i="2"/>
  <c r="F11" i="2"/>
  <c r="B11" i="2"/>
  <c r="Z10" i="2"/>
  <c r="X10" i="2"/>
  <c r="Y10" i="2" s="1"/>
  <c r="L10" i="2"/>
  <c r="F10" i="2"/>
  <c r="B10" i="2"/>
  <c r="Z9" i="2"/>
  <c r="X9" i="2"/>
  <c r="Y9" i="2" s="1"/>
  <c r="L9" i="2"/>
  <c r="F9" i="2"/>
  <c r="B9" i="2"/>
  <c r="Z8" i="2"/>
  <c r="X8" i="2"/>
  <c r="Y8" i="2" s="1"/>
  <c r="L8" i="2"/>
  <c r="F8" i="2"/>
  <c r="B8" i="2"/>
  <c r="Z7" i="2"/>
  <c r="X7" i="2"/>
  <c r="Y7" i="2" s="1"/>
  <c r="L7" i="2"/>
  <c r="F7" i="2"/>
  <c r="B7" i="2"/>
  <c r="Z6" i="2"/>
  <c r="X6" i="2"/>
  <c r="Y6" i="2" s="1"/>
  <c r="L6" i="2"/>
  <c r="F6" i="2"/>
  <c r="B6" i="2"/>
  <c r="Z5" i="2"/>
  <c r="X5" i="2"/>
  <c r="Y5" i="2" s="1"/>
  <c r="L5" i="2"/>
  <c r="F5" i="2"/>
  <c r="B5" i="2"/>
  <c r="Z4" i="2"/>
  <c r="X4" i="2"/>
  <c r="Y4" i="2" s="1"/>
  <c r="L4" i="2"/>
  <c r="F4" i="2"/>
  <c r="B4" i="2"/>
  <c r="Z3" i="2"/>
  <c r="X3" i="2"/>
  <c r="Y3" i="2" s="1"/>
  <c r="L3" i="2"/>
  <c r="F3" i="2"/>
  <c r="B3" i="2"/>
  <c r="Z2" i="2"/>
  <c r="X2" i="2"/>
  <c r="Y2" i="2" s="1"/>
  <c r="L2" i="2"/>
  <c r="F2" i="2"/>
  <c r="B2" i="2"/>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V6" i="1"/>
  <c r="V8" i="1"/>
  <c r="V14" i="1"/>
  <c r="V15" i="1"/>
  <c r="V16" i="1"/>
  <c r="V17" i="1"/>
  <c r="V22" i="1"/>
  <c r="V24" i="1"/>
  <c r="V30" i="1"/>
  <c r="V31" i="1"/>
  <c r="V32" i="1"/>
  <c r="V33" i="1"/>
  <c r="V38" i="1"/>
  <c r="V40" i="1"/>
  <c r="V46" i="1"/>
  <c r="V47" i="1"/>
  <c r="V48" i="1"/>
  <c r="V49" i="1"/>
  <c r="V54" i="1"/>
  <c r="V56" i="1"/>
  <c r="V62" i="1"/>
  <c r="V63" i="1"/>
  <c r="V64" i="1"/>
  <c r="V65" i="1"/>
  <c r="V70" i="1"/>
  <c r="V72" i="1"/>
  <c r="V78" i="1"/>
  <c r="V79" i="1"/>
  <c r="V80" i="1"/>
  <c r="V81" i="1"/>
  <c r="V86" i="1"/>
  <c r="V88" i="1"/>
  <c r="V94" i="1"/>
  <c r="V95" i="1"/>
  <c r="V96" i="1"/>
  <c r="V97" i="1"/>
  <c r="U2" i="1"/>
  <c r="V2" i="1" s="1"/>
  <c r="U3" i="1"/>
  <c r="V3" i="1" s="1"/>
  <c r="U4" i="1"/>
  <c r="V4" i="1" s="1"/>
  <c r="U5" i="1"/>
  <c r="V5" i="1" s="1"/>
  <c r="U6" i="1"/>
  <c r="U7" i="1"/>
  <c r="V7" i="1" s="1"/>
  <c r="U8" i="1"/>
  <c r="U9" i="1"/>
  <c r="V9" i="1" s="1"/>
  <c r="U10" i="1"/>
  <c r="V10" i="1" s="1"/>
  <c r="U11" i="1"/>
  <c r="V11" i="1" s="1"/>
  <c r="U12" i="1"/>
  <c r="V12" i="1" s="1"/>
  <c r="U13" i="1"/>
  <c r="V13" i="1" s="1"/>
  <c r="U14" i="1"/>
  <c r="U15" i="1"/>
  <c r="U16" i="1"/>
  <c r="U17" i="1"/>
  <c r="U18" i="1"/>
  <c r="V18" i="1" s="1"/>
  <c r="U19" i="1"/>
  <c r="V19" i="1" s="1"/>
  <c r="U20" i="1"/>
  <c r="V20" i="1" s="1"/>
  <c r="U21" i="1"/>
  <c r="V21" i="1" s="1"/>
  <c r="U22" i="1"/>
  <c r="U23" i="1"/>
  <c r="V23" i="1" s="1"/>
  <c r="U24" i="1"/>
  <c r="U25" i="1"/>
  <c r="V25" i="1" s="1"/>
  <c r="U26" i="1"/>
  <c r="V26" i="1" s="1"/>
  <c r="U27" i="1"/>
  <c r="V27" i="1" s="1"/>
  <c r="U28" i="1"/>
  <c r="V28" i="1" s="1"/>
  <c r="U29" i="1"/>
  <c r="V29" i="1" s="1"/>
  <c r="U30" i="1"/>
  <c r="U31" i="1"/>
  <c r="U32" i="1"/>
  <c r="U33" i="1"/>
  <c r="U34" i="1"/>
  <c r="V34" i="1" s="1"/>
  <c r="U35" i="1"/>
  <c r="V35" i="1" s="1"/>
  <c r="U36" i="1"/>
  <c r="V36" i="1" s="1"/>
  <c r="U37" i="1"/>
  <c r="V37" i="1" s="1"/>
  <c r="U38" i="1"/>
  <c r="U39" i="1"/>
  <c r="V39" i="1" s="1"/>
  <c r="U40" i="1"/>
  <c r="U41" i="1"/>
  <c r="V41" i="1" s="1"/>
  <c r="U42" i="1"/>
  <c r="V42" i="1" s="1"/>
  <c r="U43" i="1"/>
  <c r="V43" i="1" s="1"/>
  <c r="U44" i="1"/>
  <c r="V44" i="1" s="1"/>
  <c r="U45" i="1"/>
  <c r="V45" i="1" s="1"/>
  <c r="U46" i="1"/>
  <c r="U47" i="1"/>
  <c r="U48" i="1"/>
  <c r="U49" i="1"/>
  <c r="U50" i="1"/>
  <c r="V50" i="1" s="1"/>
  <c r="U51" i="1"/>
  <c r="V51" i="1" s="1"/>
  <c r="U52" i="1"/>
  <c r="V52" i="1" s="1"/>
  <c r="U53" i="1"/>
  <c r="V53" i="1" s="1"/>
  <c r="U54" i="1"/>
  <c r="U55" i="1"/>
  <c r="V55" i="1" s="1"/>
  <c r="U56" i="1"/>
  <c r="U57" i="1"/>
  <c r="V57" i="1" s="1"/>
  <c r="U58" i="1"/>
  <c r="V58" i="1" s="1"/>
  <c r="U59" i="1"/>
  <c r="V59" i="1" s="1"/>
  <c r="U60" i="1"/>
  <c r="V60" i="1" s="1"/>
  <c r="U61" i="1"/>
  <c r="V61" i="1" s="1"/>
  <c r="U62" i="1"/>
  <c r="U63" i="1"/>
  <c r="U64" i="1"/>
  <c r="U65" i="1"/>
  <c r="U66" i="1"/>
  <c r="V66" i="1" s="1"/>
  <c r="U67" i="1"/>
  <c r="V67" i="1" s="1"/>
  <c r="U68" i="1"/>
  <c r="V68" i="1" s="1"/>
  <c r="U69" i="1"/>
  <c r="V69" i="1" s="1"/>
  <c r="U70" i="1"/>
  <c r="U71" i="1"/>
  <c r="V71" i="1" s="1"/>
  <c r="U72" i="1"/>
  <c r="U73" i="1"/>
  <c r="V73" i="1" s="1"/>
  <c r="U74" i="1"/>
  <c r="V74" i="1" s="1"/>
  <c r="U75" i="1"/>
  <c r="V75" i="1" s="1"/>
  <c r="U76" i="1"/>
  <c r="V76" i="1" s="1"/>
  <c r="U77" i="1"/>
  <c r="V77" i="1" s="1"/>
  <c r="U78" i="1"/>
  <c r="U79" i="1"/>
  <c r="U80" i="1"/>
  <c r="U81" i="1"/>
  <c r="U82" i="1"/>
  <c r="V82" i="1" s="1"/>
  <c r="U83" i="1"/>
  <c r="V83" i="1" s="1"/>
  <c r="U84" i="1"/>
  <c r="V84" i="1" s="1"/>
  <c r="U85" i="1"/>
  <c r="V85" i="1" s="1"/>
  <c r="U86" i="1"/>
  <c r="U87" i="1"/>
  <c r="V87" i="1" s="1"/>
  <c r="U88" i="1"/>
  <c r="U89" i="1"/>
  <c r="V89" i="1" s="1"/>
  <c r="U90" i="1"/>
  <c r="V90" i="1" s="1"/>
  <c r="U91" i="1"/>
  <c r="V91" i="1" s="1"/>
  <c r="U92" i="1"/>
  <c r="V92" i="1" s="1"/>
  <c r="U93" i="1"/>
  <c r="V93" i="1" s="1"/>
  <c r="U94" i="1"/>
  <c r="U95" i="1"/>
  <c r="U96" i="1"/>
  <c r="U97" i="1"/>
  <c r="U98" i="1"/>
  <c r="V98" i="1" s="1"/>
  <c r="U99" i="1"/>
  <c r="V99" i="1" s="1"/>
  <c r="U100" i="1"/>
  <c r="V100" i="1" s="1"/>
  <c r="U101" i="1"/>
  <c r="V101" i="1" s="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G8" i="10" l="1"/>
  <c r="E8" i="10"/>
  <c r="A16" i="10" s="1"/>
  <c r="C118" i="2" a="1"/>
  <c r="C11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<sst xmlns="http://schemas.openxmlformats.org/spreadsheetml/2006/main" count="1968" uniqueCount="238">
  <si>
    <t>Employee ID</t>
  </si>
  <si>
    <t>Title</t>
  </si>
  <si>
    <t>First Name</t>
  </si>
  <si>
    <t>Last Name</t>
  </si>
  <si>
    <t>Email</t>
  </si>
  <si>
    <t>Phone Extension</t>
  </si>
  <si>
    <t>Department</t>
  </si>
  <si>
    <t>Joining Date</t>
  </si>
  <si>
    <t>Salary</t>
  </si>
  <si>
    <t>Bonus</t>
  </si>
  <si>
    <t>Region</t>
  </si>
  <si>
    <t>Performance Rating</t>
  </si>
  <si>
    <t>Monthly Sales</t>
  </si>
  <si>
    <t>Loan Amount</t>
  </si>
  <si>
    <t>Interest Rate %</t>
  </si>
  <si>
    <t>Loan Term (Months)</t>
  </si>
  <si>
    <t>Designation</t>
  </si>
  <si>
    <t>Region Code</t>
  </si>
  <si>
    <t>EM_Code</t>
  </si>
  <si>
    <t>Promotion Eligibility</t>
  </si>
  <si>
    <t>Years with Company</t>
  </si>
  <si>
    <t>Monthly Loan Payment (PMT) - 20</t>
  </si>
  <si>
    <t>Departments for Top Performers</t>
  </si>
  <si>
    <t>Prof.</t>
  </si>
  <si>
    <t>Bob</t>
  </si>
  <si>
    <t>Clark</t>
  </si>
  <si>
    <t>929-6998874</t>
  </si>
  <si>
    <t>Support</t>
  </si>
  <si>
    <t>2021-06-19</t>
  </si>
  <si>
    <t>13%</t>
  </si>
  <si>
    <t>South</t>
  </si>
  <si>
    <t>Consultant</t>
  </si>
  <si>
    <t>David</t>
  </si>
  <si>
    <t>Miller</t>
  </si>
  <si>
    <t>929-9665568</t>
  </si>
  <si>
    <t>R&amp;D</t>
  </si>
  <si>
    <t>2020-07-29</t>
  </si>
  <si>
    <t>9%</t>
  </si>
  <si>
    <t>West</t>
  </si>
  <si>
    <t>Coordinator</t>
  </si>
  <si>
    <t>Dr.</t>
  </si>
  <si>
    <t>Lee</t>
  </si>
  <si>
    <t>929-5699987</t>
  </si>
  <si>
    <t>HR</t>
  </si>
  <si>
    <t>2020-08-28</t>
  </si>
  <si>
    <t>12%</t>
  </si>
  <si>
    <t>Manager</t>
  </si>
  <si>
    <t>Mrs.</t>
  </si>
  <si>
    <t>Henry</t>
  </si>
  <si>
    <t>Green</t>
  </si>
  <si>
    <t>929-6554412</t>
  </si>
  <si>
    <t>Operations</t>
  </si>
  <si>
    <t>2020-12-24</t>
  </si>
  <si>
    <t>19%</t>
  </si>
  <si>
    <t>North</t>
  </si>
  <si>
    <t>Ms.</t>
  </si>
  <si>
    <t>Frank</t>
  </si>
  <si>
    <t>Brown</t>
  </si>
  <si>
    <t>929-8552214</t>
  </si>
  <si>
    <t>Marketing</t>
  </si>
  <si>
    <t>2016-03-18</t>
  </si>
  <si>
    <t>11%</t>
  </si>
  <si>
    <t>East</t>
  </si>
  <si>
    <t>Junior Analyst</t>
  </si>
  <si>
    <t>Grace</t>
  </si>
  <si>
    <t>2015-09-23</t>
  </si>
  <si>
    <t>Carol</t>
  </si>
  <si>
    <t>2021-02-21</t>
  </si>
  <si>
    <t>10%</t>
  </si>
  <si>
    <t>Mr.</t>
  </si>
  <si>
    <t>Alice</t>
  </si>
  <si>
    <t>Smith</t>
  </si>
  <si>
    <t>2021-02-22</t>
  </si>
  <si>
    <t>Johnson</t>
  </si>
  <si>
    <t>2017-10-29</t>
  </si>
  <si>
    <t>Senior Analyst</t>
  </si>
  <si>
    <t>Davis</t>
  </si>
  <si>
    <t>2017-10-30</t>
  </si>
  <si>
    <t>Eva</t>
  </si>
  <si>
    <t>696-5558898</t>
  </si>
  <si>
    <t>IT</t>
  </si>
  <si>
    <t>2018-12-17</t>
  </si>
  <si>
    <t>14%</t>
  </si>
  <si>
    <t>929-5665569</t>
  </si>
  <si>
    <t>Sales</t>
  </si>
  <si>
    <t>2018-10-19</t>
  </si>
  <si>
    <t>2017-05-05</t>
  </si>
  <si>
    <t>Isla</t>
  </si>
  <si>
    <t>2022-07-07</t>
  </si>
  <si>
    <t>17%</t>
  </si>
  <si>
    <t>2015-05-28</t>
  </si>
  <si>
    <t>20%</t>
  </si>
  <si>
    <t>Assistant</t>
  </si>
  <si>
    <t>Jack</t>
  </si>
  <si>
    <t>2015-07-26</t>
  </si>
  <si>
    <t>2018-08-21</t>
  </si>
  <si>
    <t>2020-04-02</t>
  </si>
  <si>
    <t>5%</t>
  </si>
  <si>
    <t>Specialist</t>
  </si>
  <si>
    <t>2022-08-06</t>
  </si>
  <si>
    <t>Team Lead</t>
  </si>
  <si>
    <t>929-5857874</t>
  </si>
  <si>
    <t>Finance</t>
  </si>
  <si>
    <t>2018-01-26</t>
  </si>
  <si>
    <t>Director</t>
  </si>
  <si>
    <t>2019-09-08</t>
  </si>
  <si>
    <t>2021-03-22</t>
  </si>
  <si>
    <t>2018-02-25</t>
  </si>
  <si>
    <t>Adams</t>
  </si>
  <si>
    <t>2022-10-04</t>
  </si>
  <si>
    <t>2021-11-13</t>
  </si>
  <si>
    <t>Taylor</t>
  </si>
  <si>
    <t>2015-01-01</t>
  </si>
  <si>
    <t>6%</t>
  </si>
  <si>
    <t>2016-08-13</t>
  </si>
  <si>
    <t>8%</t>
  </si>
  <si>
    <t>2017-03-07</t>
  </si>
  <si>
    <t>2020-11-24</t>
  </si>
  <si>
    <t>2019-08-10</t>
  </si>
  <si>
    <t>2020-05-02</t>
  </si>
  <si>
    <t>7%</t>
  </si>
  <si>
    <t>Executive</t>
  </si>
  <si>
    <t>2016-10-11</t>
  </si>
  <si>
    <t>2020-09-26</t>
  </si>
  <si>
    <t>2017-11-28</t>
  </si>
  <si>
    <t>2015-03-30</t>
  </si>
  <si>
    <t>2018-03-26</t>
  </si>
  <si>
    <t>2019-12-06</t>
  </si>
  <si>
    <t>2017-01-07</t>
  </si>
  <si>
    <t>15%</t>
  </si>
  <si>
    <t>2022-04-10</t>
  </si>
  <si>
    <t>2016-05-16</t>
  </si>
  <si>
    <t>18%</t>
  </si>
  <si>
    <t>2017-08-02</t>
  </si>
  <si>
    <t>2018-04-25</t>
  </si>
  <si>
    <t>2022-09-04</t>
  </si>
  <si>
    <t>2022-03-11</t>
  </si>
  <si>
    <t>2021-05-20</t>
  </si>
  <si>
    <t>2019-04-14</t>
  </si>
  <si>
    <t>2020-06-30</t>
  </si>
  <si>
    <t>2020-03-03</t>
  </si>
  <si>
    <t>2015-11-21</t>
  </si>
  <si>
    <t>2019-07-11</t>
  </si>
  <si>
    <t>2022-11-02</t>
  </si>
  <si>
    <t>2022-06-08</t>
  </si>
  <si>
    <t>2021-10-15</t>
  </si>
  <si>
    <t>2020-02-03</t>
  </si>
  <si>
    <t>2016-06-15</t>
  </si>
  <si>
    <t>2019-05-13</t>
  </si>
  <si>
    <t>2015-01-30</t>
  </si>
  <si>
    <t>2017-02-06</t>
  </si>
  <si>
    <t>2017-04-06</t>
  </si>
  <si>
    <t>2021-08-17</t>
  </si>
  <si>
    <t>2019-02-14</t>
  </si>
  <si>
    <t>2015-03-01</t>
  </si>
  <si>
    <t>2022-05-09</t>
  </si>
  <si>
    <t>2016-04-17</t>
  </si>
  <si>
    <t>2016-09-11</t>
  </si>
  <si>
    <t>2020-10-26</t>
  </si>
  <si>
    <t>2021-12-13</t>
  </si>
  <si>
    <t>2021-01-22</t>
  </si>
  <si>
    <t>2019-01-15</t>
  </si>
  <si>
    <t>2016-02-18</t>
  </si>
  <si>
    <t>2021-09-15</t>
  </si>
  <si>
    <t>2015-06-27</t>
  </si>
  <si>
    <t>2017-12-28</t>
  </si>
  <si>
    <t>2015-12-21</t>
  </si>
  <si>
    <t>2016-12-09</t>
  </si>
  <si>
    <t>2017-09-30</t>
  </si>
  <si>
    <t>2015-04-29</t>
  </si>
  <si>
    <t>2018-11-17</t>
  </si>
  <si>
    <t>2017-07-03</t>
  </si>
  <si>
    <t>2018-05-24</t>
  </si>
  <si>
    <t>2022-12-02</t>
  </si>
  <si>
    <t>2016-01-19</t>
  </si>
  <si>
    <t>2015-08-25</t>
  </si>
  <si>
    <t>2016-07-14</t>
  </si>
  <si>
    <t>2020-01-04</t>
  </si>
  <si>
    <t>2023-01-01</t>
  </si>
  <si>
    <t>2017-09-01</t>
  </si>
  <si>
    <t>2018-09-19</t>
  </si>
  <si>
    <t>2022-01-11</t>
  </si>
  <si>
    <t>2016-11-09</t>
  </si>
  <si>
    <t>2019-10-08</t>
  </si>
  <si>
    <t>2015-10-23</t>
  </si>
  <si>
    <t>2021-04-21</t>
  </si>
  <si>
    <t>2022-02-10</t>
  </si>
  <si>
    <t>2019-11-06</t>
  </si>
  <si>
    <t>2020-05-31</t>
  </si>
  <si>
    <t>2021-07-18</t>
  </si>
  <si>
    <t>2017-06-04</t>
  </si>
  <si>
    <t>2019-03-15</t>
  </si>
  <si>
    <t>Region of the employee with the highest performance</t>
  </si>
  <si>
    <t xml:space="preserve">Total `Salary` for all employees.
</t>
  </si>
  <si>
    <t>Average Bonus in %</t>
  </si>
  <si>
    <t>Maximum Salary</t>
  </si>
  <si>
    <t>Standard deviation of the performance ratings</t>
  </si>
  <si>
    <t>Standard deviation of the Monthly Sales (Population)</t>
  </si>
  <si>
    <t>Variance of the Monthly Sales</t>
  </si>
  <si>
    <t>Median of the Monthly Sales</t>
  </si>
  <si>
    <t>Mode of the Monthly Sales</t>
  </si>
  <si>
    <t>Calculate a separate overall NPV summary for all employees using an aggregated Monthly Sales value defined by the activity instructions.</t>
  </si>
  <si>
    <t>Top 10% Performance Threshold</t>
  </si>
  <si>
    <t>Column1</t>
  </si>
  <si>
    <t>Email IDs</t>
  </si>
  <si>
    <t>Emp_Initial_Code</t>
  </si>
  <si>
    <t>Joining Date USA Format</t>
  </si>
  <si>
    <t>NPV</t>
  </si>
  <si>
    <t>Performance Percentile</t>
  </si>
  <si>
    <t xml:space="preserve">Departments in Top 10% of Performance </t>
  </si>
  <si>
    <t>Phone Extension Updated</t>
  </si>
  <si>
    <t>Sum of Salary</t>
  </si>
  <si>
    <t>Row Labels</t>
  </si>
  <si>
    <t>Grand Total</t>
  </si>
  <si>
    <t>Count of Emp_Initial_Code</t>
  </si>
  <si>
    <t>Average of Performance Rating</t>
  </si>
  <si>
    <t>Sum of Loan Amount</t>
  </si>
  <si>
    <t>Average of Interest Rate %</t>
  </si>
  <si>
    <t>Note: conditional formating identifies the highest total loan amount in yellow</t>
  </si>
  <si>
    <t>Note: conditional formating identifies the lowest average interest rate in orange</t>
  </si>
  <si>
    <t>Average of Years with Company</t>
  </si>
  <si>
    <t>(All)</t>
  </si>
  <si>
    <t xml:space="preserve"> </t>
  </si>
  <si>
    <t>📊 Data Set Worksheet Analysis</t>
  </si>
  <si>
    <t>Employee-level HR, compensation, performance, sales, loan, and tenure data summarized into quick insights.</t>
  </si>
  <si>
    <t>🧭 What this worksheet contains</t>
  </si>
  <si>
    <t>💡 Initial insights &amp; takeaways</t>
  </si>
  <si>
    <t>Headcount</t>
  </si>
  <si>
    <t>Average Salary</t>
  </si>
  <si>
    <t>Total Monthly Sales</t>
  </si>
  <si>
    <t>Average Performance</t>
  </si>
  <si>
    <t>Average Loan Amount</t>
  </si>
  <si>
    <t>Promotion Eligible %</t>
  </si>
  <si>
    <t>Average Tenure (Years)</t>
  </si>
  <si>
    <t>Top Sales Department</t>
  </si>
  <si>
    <t>Employee Count</t>
  </si>
  <si>
    <t>Eligible</t>
  </si>
  <si>
    <t>Not Eligible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</si>
</sst>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quot;$&quot;#,##0.00"/>
    <numFmt numFmtId="165" formatCode="0.0"/>
    <numFmt numFmtId="166" formatCode="&quot;$&quot;#,##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b/>
      <sz val="11"/>
      <name val="Calibri"/>
      <family val="2"/>
    </font>
    <font>
      <b/>
      <sz val="11"/>
      <name val="Aptos Narrow"/>
      <family val="2"/>
      <scheme val="minor"/>
    </font>
    <font>
      <sz val="11"/>
      <name val="Aptos Narrow"/>
      <family val="2"/>
      <scheme val="minor"/>
    </font>
    <font>
      <sz val="11"/>
      <name val="Calibri"/>
      <family val="2"/>
    </font>
    <font>
      <sz val="13"/>
      <color theme="1"/>
      <name val="Calibri"/>
      <family val="2"/>
    </font>
    <font>
      <sz val="13"/>
      <name val="Calibri"/>
      <family val="2"/>
    </font>
    <font>
      <sz val="11"/>
      <color rgb="FFFFFFFF"/>
      <name val="Aptos Narrow"/>
      <family val="2"/>
      <scheme val="minor"/>
    </font>
    <font>
      <b/>
      <sz val="11"/>
      <color rgb="FFFFFFFF"/>
      <name val="Aptos Narrow"/>
      <family val="2"/>
      <scheme val="minor"/>
    </font>
    <font>
      <b/>
      <sz val="18"/>
      <color rgb="FFFFFFFF"/>
      <name val="Aptos Narrow"/>
      <family val="2"/>
      <scheme val="minor"/>
    </font>
    <font>
      <sz val="11"/>
      <color rgb="FF1F1F1F"/>
      <name val="Aptos Narrow"/>
      <family val="2"/>
      <scheme val="minor"/>
    </font>
    <font>
      <b/>
      <sz val="11"/>
      <color rgb="FF1F1F1F"/>
      <name val="Aptos Narrow"/>
      <family val="2"/>
      <scheme val="minor"/>
    </font>
    <font>
      <b/>
      <sz val="14"/>
      <color rgb="FF1F1F1F"/>
      <name val="Aptos Narrow"/>
      <family val="2"/>
      <scheme val="minor"/>
    </font>
  </fonts>
  <fills count="23">
    <fill>
      <patternFill patternType="none"/>
    </fill>
    <fill>
      <patternFill patternType="gray125"/>
    </fill>
    <fill>
      <patternFill patternType="solid">
        <fgColor theme="0"/>
        <bgColor theme="0"/>
      </patternFill>
    </fill>
    <fill>
      <patternFill patternType="solid">
        <fgColor rgb="FFFDE9D9"/>
        <bgColor rgb="FFFDE9D9"/>
      </patternFill>
    </fill>
    <fill>
      <patternFill patternType="solid">
        <fgColor theme="0"/>
        <bgColor theme="4"/>
      </patternFill>
    </fill>
    <fill>
      <patternFill patternType="solid">
        <fgColor theme="0"/>
        <bgColor theme="4" tint="0.59999389629810485"/>
      </patternFill>
    </fill>
    <fill>
      <patternFill patternType="solid">
        <fgColor theme="0"/>
        <bgColor theme="4" tint="0.79998168889431442"/>
      </patternFill>
    </fill>
    <fill>
      <patternFill patternType="solid">
        <fgColor theme="9" tint="0.79998168889431442"/>
        <bgColor indexed="64"/>
      </patternFill>
    </fill>
    <fill>
      <patternFill patternType="solid">
        <fgColor theme="9" tint="0.79998168889431442"/>
        <bgColor theme="0"/>
      </patternFill>
    </fill>
    <fill>
      <patternFill patternType="solid">
        <fgColor theme="9" tint="0.79998168889431442"/>
        <bgColor rgb="FFFDE9D9"/>
      </patternFill>
    </fill>
    <fill>
      <patternFill patternType="solid">
        <fgColor theme="9" tint="0.79998168889431442"/>
        <bgColor theme="4"/>
      </patternFill>
    </fill>
    <fill>
      <patternFill patternType="solid">
        <fgColor theme="9" tint="0.79998168889431442"/>
        <bgColor theme="4" tint="0.59999389629810485"/>
      </patternFill>
    </fill>
    <fill>
      <patternFill patternType="solid">
        <fgColor theme="9" tint="0.79998168889431442"/>
        <bgColor theme="4" tint="0.79998168889431442"/>
      </patternFill>
    </fill>
    <fill>
      <patternFill patternType="solid">
        <fgColor theme="7" tint="0.59999389629810485"/>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1F4E78"/>
        <bgColor indexed="64"/>
      </patternFill>
    </fill>
    <fill>
      <patternFill patternType="solid">
        <fgColor rgb="FFD9EAF7"/>
        <bgColor indexed="64"/>
      </patternFill>
    </fill>
    <fill>
      <patternFill patternType="solid">
        <fgColor rgb="FF5B9BD5"/>
        <bgColor indexed="64"/>
      </patternFill>
    </fill>
    <fill>
      <patternFill patternType="solid">
        <fgColor rgb="FF70AD47"/>
        <bgColor indexed="64"/>
      </patternFill>
    </fill>
    <fill>
      <patternFill patternType="solid">
        <fgColor rgb="FFD9EAD3"/>
        <bgColor indexed="64"/>
      </patternFill>
    </fill>
    <fill>
      <patternFill patternType="solid">
        <fgColor rgb="FFF8FBFD"/>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diagonal/>
    </border>
    <border>
      <left/>
      <right/>
      <top style="thin">
        <color indexed="64"/>
      </top>
      <bottom/>
      <diagonal/>
    </border>
    <border>
      <left/>
      <right/>
      <top/>
      <bottom style="thin">
        <color auto="1"/>
      </bottom>
      <diagonal/>
    </border>
  </borders>
  <cellStyleXfs count="4">
    <xf numFmtId="0" fontId="0" fillId="0" borderId="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4" fillId="2" borderId="1" xfId="0" applyFont="1" applyFill="1" applyBorder="1"/>
    <xf numFmtId="44" fontId="4" fillId="2" borderId="1" xfId="0" applyNumberFormat="1" applyFont="1" applyFill="1" applyBorder="1"/>
    <xf numFmtId="8" fontId="4" fillId="2" borderId="1" xfId="0" applyNumberFormat="1" applyFont="1" applyFill="1" applyBorder="1"/>
    <xf numFmtId="9" fontId="4" fillId="2" borderId="1" xfId="0" applyNumberFormat="1" applyFont="1" applyFill="1" applyBorder="1"/>
    <xf numFmtId="0" fontId="4" fillId="2" borderId="3" xfId="0" applyFont="1" applyFill="1" applyBorder="1"/>
    <xf numFmtId="44" fontId="4" fillId="2" borderId="4" xfId="0" applyNumberFormat="1" applyFont="1" applyFill="1" applyBorder="1"/>
    <xf numFmtId="0" fontId="1" fillId="5" borderId="2" xfId="1" applyFill="1" applyBorder="1"/>
    <xf numFmtId="0" fontId="1" fillId="6" borderId="2" xfId="1" applyFill="1" applyBorder="1"/>
    <xf numFmtId="0" fontId="3" fillId="3" borderId="2" xfId="0" applyFont="1" applyFill="1" applyBorder="1" applyAlignment="1">
      <alignment horizontal="left" vertical="top"/>
    </xf>
    <xf numFmtId="0" fontId="0" fillId="0" borderId="0" xfId="0" applyAlignment="1">
      <alignment horizontal="center"/>
    </xf>
    <xf numFmtId="0" fontId="0" fillId="7" borderId="0" xfId="0" applyFill="1"/>
    <xf numFmtId="0" fontId="4" fillId="2" borderId="4" xfId="0" applyFont="1" applyFill="1" applyBorder="1"/>
    <xf numFmtId="0" fontId="5" fillId="2" borderId="4" xfId="0" applyFont="1" applyFill="1" applyBorder="1" applyAlignment="1">
      <alignment horizontal="center" vertical="top"/>
    </xf>
    <xf numFmtId="0" fontId="5" fillId="2" borderId="1" xfId="0" applyFont="1" applyFill="1" applyBorder="1" applyAlignment="1">
      <alignment horizontal="center" vertical="top"/>
    </xf>
    <xf numFmtId="0" fontId="5" fillId="2" borderId="3" xfId="0" applyFont="1" applyFill="1" applyBorder="1" applyAlignment="1">
      <alignment horizontal="center" vertical="top"/>
    </xf>
    <xf numFmtId="0" fontId="6" fillId="4" borderId="2" xfId="1" applyFont="1" applyFill="1" applyBorder="1" applyAlignment="1">
      <alignment horizontal="center" vertical="top"/>
    </xf>
    <xf numFmtId="0" fontId="5" fillId="2" borderId="1" xfId="0" applyFont="1" applyFill="1" applyBorder="1" applyAlignment="1">
      <alignment horizontal="center" vertical="top" wrapText="1"/>
    </xf>
    <xf numFmtId="0" fontId="5" fillId="2" borderId="3" xfId="0" applyFont="1" applyFill="1" applyBorder="1" applyAlignment="1">
      <alignment horizontal="center" vertical="top" wrapText="1"/>
    </xf>
    <xf numFmtId="0" fontId="7" fillId="0" borderId="0" xfId="0" applyFont="1"/>
    <xf numFmtId="0" fontId="5" fillId="2" borderId="4" xfId="0" applyFont="1" applyFill="1" applyBorder="1" applyAlignment="1" applyProtection="1">
      <alignment horizontal="center" vertical="top"/>
      <protection locked="0"/>
    </xf>
    <xf numFmtId="0" fontId="5" fillId="2" borderId="8" xfId="0" applyFont="1" applyFill="1" applyBorder="1" applyAlignment="1">
      <alignment horizontal="center" vertical="top"/>
    </xf>
    <xf numFmtId="0" fontId="5" fillId="8" borderId="1" xfId="0" applyFont="1" applyFill="1" applyBorder="1" applyAlignment="1">
      <alignment horizontal="center" vertical="top"/>
    </xf>
    <xf numFmtId="0" fontId="4" fillId="8" borderId="1" xfId="0" applyFont="1" applyFill="1" applyBorder="1"/>
    <xf numFmtId="0" fontId="3" fillId="9" borderId="2" xfId="0" applyFont="1" applyFill="1" applyBorder="1" applyAlignment="1">
      <alignment horizontal="left" vertical="top"/>
    </xf>
    <xf numFmtId="0" fontId="5" fillId="8" borderId="4" xfId="0" applyFont="1" applyFill="1" applyBorder="1" applyAlignment="1" applyProtection="1">
      <alignment horizontal="center" vertical="top"/>
      <protection locked="0"/>
    </xf>
    <xf numFmtId="0" fontId="4" fillId="8" borderId="4" xfId="0" applyFont="1" applyFill="1" applyBorder="1"/>
    <xf numFmtId="0" fontId="6" fillId="10" borderId="2" xfId="1" applyFont="1" applyFill="1" applyBorder="1" applyAlignment="1">
      <alignment horizontal="center" vertical="top" wrapText="1"/>
    </xf>
    <xf numFmtId="0" fontId="1" fillId="11" borderId="2" xfId="1" applyFill="1" applyBorder="1" applyAlignment="1">
      <alignment horizontal="center"/>
    </xf>
    <xf numFmtId="0" fontId="1" fillId="12" borderId="2" xfId="1" applyFill="1" applyBorder="1" applyAlignment="1">
      <alignment horizontal="center"/>
    </xf>
    <xf numFmtId="0" fontId="4" fillId="0" borderId="0" xfId="0" applyFont="1" applyAlignment="1">
      <alignment horizontal="center"/>
    </xf>
    <xf numFmtId="0" fontId="9" fillId="8" borderId="1" xfId="0" applyFont="1" applyFill="1" applyBorder="1" applyAlignment="1">
      <alignment horizontal="center"/>
    </xf>
    <xf numFmtId="0" fontId="8" fillId="8" borderId="1" xfId="0" applyFont="1" applyFill="1" applyBorder="1" applyAlignment="1">
      <alignment horizontal="center" vertical="top"/>
    </xf>
    <xf numFmtId="0" fontId="5" fillId="0" borderId="1" xfId="0" applyFont="1" applyBorder="1" applyAlignment="1">
      <alignment horizontal="center" vertical="top"/>
    </xf>
    <xf numFmtId="0" fontId="5" fillId="7" borderId="1" xfId="0" applyFont="1" applyFill="1" applyBorder="1" applyAlignment="1">
      <alignment horizontal="center" vertical="top"/>
    </xf>
    <xf numFmtId="0" fontId="4" fillId="7" borderId="1" xfId="0" applyFont="1" applyFill="1" applyBorder="1" applyAlignment="1">
      <alignment horizontal="center"/>
    </xf>
    <xf numFmtId="0" fontId="5" fillId="0" borderId="4" xfId="0" applyFont="1" applyBorder="1" applyAlignment="1" applyProtection="1">
      <alignment horizontal="center" vertical="top"/>
      <protection locked="0"/>
    </xf>
    <xf numFmtId="0" fontId="5" fillId="0" borderId="3" xfId="0" applyFont="1" applyBorder="1" applyAlignment="1">
      <alignment horizontal="center" vertical="top"/>
    </xf>
    <xf numFmtId="0" fontId="6" fillId="0" borderId="2" xfId="1" applyFont="1" applyBorder="1" applyAlignment="1">
      <alignment horizontal="center" vertical="top"/>
    </xf>
    <xf numFmtId="0" fontId="5" fillId="0" borderId="4" xfId="0" applyFont="1" applyBorder="1" applyAlignment="1">
      <alignment horizontal="center" vertical="top"/>
    </xf>
    <xf numFmtId="0" fontId="5" fillId="0" borderId="1" xfId="0" applyFont="1" applyBorder="1" applyAlignment="1">
      <alignment horizontal="center" vertical="top" wrapText="1"/>
    </xf>
    <xf numFmtId="0" fontId="8" fillId="0" borderId="4" xfId="0" applyFont="1" applyBorder="1"/>
    <xf numFmtId="0" fontId="8" fillId="0" borderId="1" xfId="0" applyFont="1" applyBorder="1"/>
    <xf numFmtId="0" fontId="8" fillId="0" borderId="3" xfId="0" applyFont="1" applyBorder="1"/>
    <xf numFmtId="0" fontId="7" fillId="0" borderId="2" xfId="1" applyFont="1" applyBorder="1"/>
    <xf numFmtId="44" fontId="8" fillId="0" borderId="4" xfId="0" applyNumberFormat="1" applyFont="1" applyBorder="1"/>
    <xf numFmtId="44" fontId="8" fillId="0" borderId="1" xfId="0" applyNumberFormat="1" applyFont="1" applyBorder="1"/>
    <xf numFmtId="0" fontId="5" fillId="13" borderId="4" xfId="0" applyFont="1" applyFill="1" applyBorder="1" applyAlignment="1" applyProtection="1">
      <alignment horizontal="center" vertical="top"/>
      <protection locked="0"/>
    </xf>
    <xf numFmtId="0" fontId="8" fillId="13" borderId="4" xfId="0" applyFont="1" applyFill="1" applyBorder="1"/>
    <xf numFmtId="0" fontId="5" fillId="13" borderId="1" xfId="0" applyFont="1" applyFill="1" applyBorder="1" applyAlignment="1">
      <alignment horizontal="center" vertical="top"/>
    </xf>
    <xf numFmtId="0" fontId="8" fillId="13" borderId="1" xfId="0" applyFont="1" applyFill="1" applyBorder="1"/>
    <xf numFmtId="0" fontId="6" fillId="13" borderId="2" xfId="1" applyFont="1" applyFill="1" applyBorder="1" applyAlignment="1">
      <alignment horizontal="center" vertical="top" wrapText="1"/>
    </xf>
    <xf numFmtId="0" fontId="7" fillId="13" borderId="2" xfId="1" applyFont="1" applyFill="1" applyBorder="1" applyAlignment="1">
      <alignment horizontal="center"/>
    </xf>
    <xf numFmtId="0" fontId="8" fillId="13" borderId="1" xfId="0" applyFont="1" applyFill="1" applyBorder="1" applyAlignment="1">
      <alignment horizontal="center"/>
    </xf>
    <xf numFmtId="0" fontId="8" fillId="13" borderId="1" xfId="0" applyFont="1" applyFill="1" applyBorder="1" applyAlignment="1">
      <alignment horizontal="center" vertical="top"/>
    </xf>
    <xf numFmtId="0" fontId="10" fillId="13" borderId="1" xfId="0" applyFont="1" applyFill="1" applyBorder="1" applyAlignment="1">
      <alignment horizontal="center"/>
    </xf>
    <xf numFmtId="0" fontId="5" fillId="13" borderId="3" xfId="0" applyFont="1" applyFill="1" applyBorder="1" applyAlignment="1">
      <alignment horizontal="center" vertical="top" wrapText="1"/>
    </xf>
    <xf numFmtId="0" fontId="8" fillId="13" borderId="3" xfId="0" applyFont="1" applyFill="1" applyBorder="1" applyAlignment="1">
      <alignment horizontal="center"/>
    </xf>
    <xf numFmtId="0" fontId="3" fillId="7" borderId="0" xfId="0" applyFont="1" applyFill="1" applyAlignment="1">
      <alignment horizontal="center" vertical="top"/>
    </xf>
    <xf numFmtId="0" fontId="3" fillId="7" borderId="0" xfId="0" applyFont="1" applyFill="1" applyAlignment="1">
      <alignment horizontal="center"/>
    </xf>
    <xf numFmtId="0" fontId="8" fillId="0" borderId="0" xfId="0" applyFont="1"/>
    <xf numFmtId="0" fontId="5" fillId="13" borderId="1" xfId="0" applyFont="1" applyFill="1" applyBorder="1" applyAlignment="1">
      <alignment horizontal="center" vertical="top" wrapText="1"/>
    </xf>
    <xf numFmtId="8" fontId="8" fillId="13" borderId="1" xfId="0" applyNumberFormat="1" applyFont="1" applyFill="1" applyBorder="1" applyAlignment="1">
      <alignment horizontal="center"/>
    </xf>
    <xf numFmtId="164" fontId="3" fillId="7" borderId="0" xfId="0" applyNumberFormat="1" applyFont="1" applyFill="1" applyAlignment="1">
      <alignment horizontal="center"/>
    </xf>
    <xf numFmtId="164" fontId="3" fillId="7" borderId="0" xfId="0" applyNumberFormat="1" applyFont="1" applyFill="1" applyAlignment="1">
      <alignment horizontal="center" wrapText="1"/>
    </xf>
    <xf numFmtId="164" fontId="0" fillId="0" borderId="0" xfId="0" applyNumberFormat="1"/>
    <xf numFmtId="164" fontId="3" fillId="7" borderId="0" xfId="0" applyNumberFormat="1" applyFont="1" applyFill="1" applyAlignment="1">
      <alignment horizontal="center" vertical="top" wrapText="1"/>
    </xf>
    <xf numFmtId="10" fontId="3" fillId="7" borderId="0" xfId="0" applyNumberFormat="1" applyFont="1" applyFill="1" applyAlignment="1">
      <alignment horizontal="center" vertical="top" wrapText="1"/>
    </xf>
    <xf numFmtId="0" fontId="2" fillId="0" borderId="0" xfId="0" applyFont="1"/>
    <xf numFmtId="0" fontId="0" fillId="15" borderId="0" xfId="0" applyFill="1"/>
    <xf numFmtId="4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3" fillId="0" borderId="0" xfId="0" applyFont="1" applyAlignment="1">
      <alignment horizontal="center"/>
    </xf>
    <xf numFmtId="8" fontId="3" fillId="7" borderId="0" xfId="0" applyNumberFormat="1" applyFont="1" applyFill="1" applyAlignment="1">
      <alignment horizontal="center" vertical="top" wrapText="1"/>
    </xf>
    <xf numFmtId="0" fontId="3" fillId="0" borderId="9" xfId="0" applyFont="1" applyBorder="1"/>
    <xf numFmtId="1" fontId="0" fillId="0" borderId="0" xfId="0" applyNumberFormat="1"/>
    <xf numFmtId="166" fontId="0" fillId="0" borderId="0" xfId="0" applyNumberFormat="1"/>
    <xf numFmtId="2" fontId="0" fillId="0" borderId="0" xfId="0" applyNumberFormat="1"/>
    <xf numFmtId="9" fontId="5" fillId="0" borderId="1" xfId="0" applyNumberFormat="1" applyFont="1" applyBorder="1" applyAlignment="1">
      <alignment horizontal="center" vertical="top"/>
    </xf>
    <xf numFmtId="9" fontId="8" fillId="0" borderId="1" xfId="0" applyNumberFormat="1" applyFont="1" applyBorder="1" applyAlignment="1">
      <alignment horizontal="center"/>
    </xf>
    <xf numFmtId="0" fontId="3" fillId="14" borderId="5" xfId="0" applyFont="1" applyFill="1" applyBorder="1" applyAlignment="1">
      <alignment horizontal="left" vertical="top"/>
    </xf>
    <xf numFmtId="0" fontId="3" fillId="14" borderId="6" xfId="0" applyFont="1" applyFill="1" applyBorder="1" applyAlignment="1">
      <alignment horizontal="left" vertical="top"/>
    </xf>
    <xf numFmtId="0" fontId="3" fillId="14" borderId="7" xfId="0" applyFont="1" applyFill="1" applyBorder="1" applyAlignment="1">
      <alignment horizontal="left" vertical="top"/>
    </xf>
    <xf numFmtId="0" fontId="2" fillId="16" borderId="0" xfId="0" applyFont="1" applyFill="1" applyAlignment="1">
      <alignment horizontal="left"/>
    </xf>
    <xf numFmtId="0" fontId="3" fillId="14" borderId="2" xfId="0" applyFont="1" applyFill="1" applyBorder="1" applyAlignment="1">
      <alignment horizontal="left" vertical="top"/>
    </xf>
    <xf numFmtId="0" fontId="3" fillId="14" borderId="2" xfId="0" applyFont="1" applyFill="1" applyBorder="1" applyAlignment="1">
      <alignment horizontal="left" vertical="top" wrapText="1"/>
    </xf>
    <xf numFmtId="0" fontId="3" fillId="14" borderId="2" xfId="0" applyFont="1" applyFill="1" applyBorder="1" applyAlignment="1">
      <alignment horizontal="left" wrapText="1"/>
    </xf>
    <xf numFmtId="0" fontId="3" fillId="14" borderId="5" xfId="0" applyFont="1" applyFill="1" applyBorder="1" applyAlignment="1">
      <alignment horizontal="left"/>
    </xf>
    <xf numFmtId="0" fontId="3" fillId="14" borderId="6" xfId="0" applyFont="1" applyFill="1" applyBorder="1" applyAlignment="1">
      <alignment horizontal="left"/>
    </xf>
    <xf numFmtId="0" fontId="3" fillId="14" borderId="7" xfId="0" applyFont="1" applyFill="1"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3" fillId="3" borderId="7" xfId="0" applyFont="1" applyFill="1" applyBorder="1" applyAlignment="1">
      <alignment horizontal="left"/>
    </xf>
    <xf numFmtId="0" fontId="3" fillId="3" borderId="2" xfId="0" applyFont="1" applyFill="1" applyBorder="1" applyAlignment="1">
      <alignment horizontal="left" vertical="top"/>
    </xf>
    <xf numFmtId="0" fontId="3" fillId="3" borderId="2" xfId="0" applyFont="1" applyFill="1" applyBorder="1" applyAlignment="1">
      <alignment horizontal="left" vertical="top" wrapText="1"/>
    </xf>
    <xf numFmtId="0" fontId="3" fillId="3" borderId="2" xfId="0" applyFont="1" applyFill="1" applyBorder="1" applyAlignment="1">
      <alignment horizontal="left" wrapText="1"/>
    </xf>
    <xf numFmtId="166" fontId="16" fillId="22" borderId="10" xfId="0" applyNumberFormat="1" applyFont="1" applyFill="1" applyBorder="1" applyAlignment="1">
      <alignment horizontal="center"/>
    </xf>
    <xf numFmtId="9" fontId="16" fillId="22" borderId="10" xfId="0" applyNumberFormat="1" applyFont="1" applyFill="1" applyBorder="1" applyAlignment="1">
      <alignment horizontal="center"/>
    </xf>
    <xf numFmtId="165" fontId="16" fillId="22" borderId="10" xfId="0" applyNumberFormat="1" applyFont="1" applyFill="1" applyBorder="1" applyAlignment="1">
      <alignment horizontal="center"/>
    </xf>
    <xf numFmtId="0" fontId="16" fillId="22" borderId="10" xfId="0" applyFont="1" applyFill="1" applyBorder="1" applyAlignment="1">
      <alignment horizontal="center"/>
    </xf>
    <xf numFmtId="0" fontId="14" fillId="22" borderId="0" xfId="0" applyFont="1" applyFill="1" applyAlignment="1">
      <alignment horizontal="left" wrapText="1"/>
    </xf>
    <xf numFmtId="0" fontId="15" fillId="21" borderId="0" xfId="0" applyFont="1" applyFill="1" applyAlignment="1">
      <alignment horizontal="center"/>
    </xf>
    <xf numFmtId="0" fontId="13" fillId="17" borderId="0" xfId="0" applyFont="1" applyFill="1" applyAlignment="1">
      <alignment horizontal="center"/>
    </xf>
    <xf numFmtId="0" fontId="11" fillId="17" borderId="0" xfId="0" applyFont="1" applyFill="1" applyAlignment="1">
      <alignment horizontal="center"/>
    </xf>
    <xf numFmtId="0" fontId="14" fillId="18" borderId="0" xfId="0" applyFont="1" applyFill="1" applyAlignment="1">
      <alignment horizontal="center"/>
    </xf>
    <xf numFmtId="0" fontId="12" fillId="19" borderId="0" xfId="0" applyFont="1" applyFill="1" applyAlignment="1">
      <alignment horizontal="center"/>
    </xf>
    <xf numFmtId="0" fontId="11" fillId="19" borderId="0" xfId="0" applyFont="1" applyFill="1" applyAlignment="1">
      <alignment horizontal="center"/>
    </xf>
    <xf numFmtId="0" fontId="12" fillId="20" borderId="0" xfId="0" applyFont="1" applyFill="1" applyAlignment="1">
      <alignment horizontal="center"/>
    </xf>
    <xf numFmtId="0" fontId="11" fillId="20" borderId="0" xfId="0" applyFont="1" applyFill="1" applyAlignment="1">
      <alignment horizontal="center"/>
    </xf>
    <xf numFmtId="1" fontId="16" fillId="22" borderId="10" xfId="0" applyNumberFormat="1" applyFont="1" applyFill="1" applyBorder="1" applyAlignment="1">
      <alignment horizontal="center"/>
    </xf>
    <xf numFmtId="2" fontId="16" fillId="22" borderId="10" xfId="0" applyNumberFormat="1" applyFont="1" applyFill="1" applyBorder="1" applyAlignment="1">
      <alignment horizontal="center"/>
    </xf>
  </cellXfs>
  <cellStyles count="4">
    <cellStyle name="Currency 2" xfId="2" xr:uid="{0FA2B559-82F7-4251-9005-391496631456}"/>
    <cellStyle name="Normal" xfId="0" builtinId="0"/>
    <cellStyle name="Normal 2" xfId="1" xr:uid="{0D4365CF-B3A8-4587-AE63-55361111514F}"/>
    <cellStyle name="Percent 2" xfId="3" xr:uid="{AD9D6768-61BB-45B6-85EB-0511525095E7}"/>
  </cellStyles>
  <dxfs count="133">
    <dxf>
      <font>
        <color rgb="FF9C0006"/>
      </font>
      <fill>
        <patternFill>
          <bgColor rgb="FFFFC7CE"/>
        </patternFill>
      </fill>
    </dxf>
    <dxf>
      <font>
        <color rgb="FF9C0006"/>
      </font>
      <fill>
        <patternFill>
          <bgColor rgb="FFFFC7CE"/>
        </patternFill>
      </fill>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ill>
        <patternFill>
          <bgColor rgb="FFFFC000"/>
        </patternFill>
      </fill>
    </dxf>
    <dxf>
      <fill>
        <patternFill>
          <bgColor rgb="FFFFFF00"/>
        </patternFill>
      </fill>
    </dxf>
    <dxf>
      <fill>
        <patternFill>
          <bgColor rgb="FFFFC000"/>
        </patternFill>
      </fill>
    </dxf>
    <dxf>
      <fill>
        <patternFill>
          <bgColor rgb="FFFFFF00"/>
        </patternFill>
      </fill>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12" formatCode="&quot;$&quot;#,##0.00_);[Red]\(&quot;$&quot;#,##0.00\)"/>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3"/>
        <color theme="1"/>
        <name val="Consolas"/>
        <family val="3"/>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3"/>
        <color theme="1"/>
        <name val="Calibri"/>
        <family val="2"/>
        <scheme val="none"/>
      </font>
      <numFmt numFmtId="0" formatCode="General"/>
      <fill>
        <patternFill patternType="solid">
          <fgColor theme="0"/>
          <bgColor theme="9" tint="0.79998168889431442"/>
        </patternFill>
      </fill>
      <alignment horizont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0"/>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9" tint="0.79998168889431442"/>
        </patternFill>
      </fill>
      <alignment horizont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34" formatCode="_(&quot;$&quot;* #,##0.00_);_(&quot;$&quot;* \(#,##0.00\);_(&quot;$&quot;* &quot;-&quot;??_);_(@_)"/>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34" formatCode="_(&quot;$&quot;* #,##0.00_);_(&quot;$&quot;* \(#,##0.00\);_(&quot;$&quot;* &quot;-&quot;??_);_(@_)"/>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right style="thin">
          <color rgb="FF000000"/>
        </right>
        <top/>
        <bottom/>
      </border>
    </dxf>
    <dxf>
      <font>
        <b val="0"/>
        <i val="0"/>
        <strike val="0"/>
        <condense val="0"/>
        <extend val="0"/>
        <outline val="0"/>
        <shadow val="0"/>
        <u val="none"/>
        <vertAlign val="baseline"/>
        <sz val="11"/>
        <color theme="1"/>
        <name val="Calibri"/>
        <family val="2"/>
        <scheme val="none"/>
      </font>
      <numFmt numFmtId="34" formatCode="_(&quot;$&quot;* #,##0.00_);_(&quot;$&quot;* \(#,##0.00\);_(&quot;$&quot;* &quot;-&quot;??_);_(@_)"/>
      <fill>
        <patternFill patternType="solid">
          <fgColor theme="0"/>
          <bgColor theme="0"/>
        </patternFill>
      </fill>
      <border diagonalUp="0" diagonalDown="0" outline="0">
        <left style="thin">
          <color auto="1"/>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0"/>
        </patternFill>
      </fill>
      <alignment horizontal="general" vertical="bottom" textRotation="0" wrapText="0" indent="0" justifyLastLine="0" shrinkToFit="0" readingOrder="0"/>
      <border diagonalUp="0" diagonalDown="0" outline="0">
        <left style="thin">
          <color auto="1"/>
        </left>
        <right style="thin">
          <color auto="1"/>
        </right>
        <top/>
        <bottom/>
      </border>
      <protection locked="1" hidden="0"/>
    </dxf>
    <dxf>
      <numFmt numFmtId="0" formatCode="General"/>
      <fill>
        <patternFill patternType="solid">
          <fgColor theme="4" tint="0.79998168889431442"/>
          <bgColor theme="9" tint="0.79998168889431442"/>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0"/>
        </patternFill>
      </fill>
      <alignment horizontal="general" vertical="bottom" textRotation="0" wrapText="0" indent="0" justifyLastLine="0" shrinkToFit="0" readingOrder="0"/>
      <border diagonalUp="0" diagonalDown="0" outline="0">
        <left style="thin">
          <color auto="1"/>
        </left>
        <right style="thin">
          <color auto="1"/>
        </right>
        <top/>
        <bottom/>
      </border>
      <protection locked="1" hidden="0"/>
    </dxf>
    <dxf>
      <fill>
        <patternFill patternType="solid">
          <fgColor theme="4" tint="0.79998168889431442"/>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0"/>
          <bgColor theme="9" tint="0.79998168889431442"/>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0"/>
          <bgColor theme="9" tint="0.79998168889431442"/>
        </patternFill>
      </fill>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border diagonalUp="0" diagonalDown="0" outline="0">
        <left/>
        <right/>
        <top style="thin">
          <color rgb="FF000000"/>
        </top>
        <bottom style="thin">
          <color rgb="FF000000"/>
        </bottom>
      </border>
    </dxf>
    <dxf>
      <border outline="0">
        <left style="thin">
          <color rgb="FF000000"/>
        </left>
        <right style="thin">
          <color rgb="FF000000"/>
        </right>
      </border>
    </dxf>
    <dxf>
      <font>
        <b/>
        <i val="0"/>
        <strike val="0"/>
        <condense val="0"/>
        <extend val="0"/>
        <outline val="0"/>
        <shadow val="0"/>
        <u val="none"/>
        <vertAlign val="baseline"/>
        <sz val="11"/>
        <color auto="1"/>
        <name val="Calibri"/>
        <family val="2"/>
        <scheme val="none"/>
      </font>
      <fill>
        <patternFill patternType="solid">
          <fgColor theme="0"/>
          <bgColor theme="0"/>
        </patternFill>
      </fill>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family val="2"/>
        <scheme val="none"/>
      </font>
      <numFmt numFmtId="12" formatCode="&quot;$&quot;#,##0.00_);[Red]\(&quot;$&quot;#,##0.00\)"/>
      <fill>
        <patternFill patternType="solid">
          <fgColor indexed="64"/>
          <bgColor theme="7" tint="0.59999389629810485"/>
        </patternFill>
      </fill>
      <alignment horizontal="center" textRotation="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alignment horizont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3"/>
        <color auto="1"/>
        <name val="Calibri"/>
        <family val="2"/>
        <scheme val="none"/>
      </font>
      <numFmt numFmtId="0" formatCode="General"/>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3"/>
        <color auto="1"/>
        <name val="Calibri"/>
        <family val="2"/>
        <scheme val="none"/>
      </font>
      <numFmt numFmtId="0" formatCode="General"/>
      <fill>
        <patternFill patternType="solid">
          <fgColor indexed="64"/>
          <bgColor theme="7" tint="0.59999389629810485"/>
        </patternFill>
      </fill>
      <alignment horizont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alignment horizont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12" formatCode="&quot;$&quot;#,##0.00_);[Red]\(&quot;$&quot;#,##0.00\)"/>
      <fill>
        <patternFill patternType="solid">
          <fgColor indexed="64"/>
          <bgColor theme="7" tint="0.59999389629810485"/>
        </patternFill>
      </fill>
      <alignment horizontal="center" textRotation="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alignment horizont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13" formatCode="0%"/>
      <fill>
        <patternFill patternType="none">
          <fgColor indexed="64"/>
          <bgColor auto="1"/>
        </patternFill>
      </fill>
      <alignment horizont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fill>
        <patternFill patternType="none">
          <fgColor indexed="64"/>
          <bgColor indexed="65"/>
        </patternFill>
      </fill>
      <border diagonalUp="0" diagonalDown="0" outline="0">
        <left style="thin">
          <color auto="1"/>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fill>
        <patternFill patternType="none">
          <fgColor indexed="64"/>
          <bgColor auto="1"/>
        </patternFill>
      </fill>
      <border diagonalUp="0" diagonalDown="0" outline="0">
        <left style="thin">
          <color auto="1"/>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minor"/>
      </font>
      <numFmt numFmtId="0" formatCode="General"/>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color auto="1"/>
      </font>
      <numFmt numFmtId="0" formatCode="General"/>
      <fill>
        <patternFill patternType="solid">
          <fgColor indexed="64"/>
          <bgColor theme="7" tint="0.59999389629810485"/>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border diagonalUp="0" diagonalDown="0" outline="0">
        <left style="thin">
          <color auto="1"/>
        </left>
        <right style="thin">
          <color auto="1"/>
        </right>
        <top style="thin">
          <color auto="1"/>
        </top>
        <bottom/>
      </border>
    </dxf>
    <dxf>
      <font>
        <strike val="0"/>
        <outline val="0"/>
        <shadow val="0"/>
        <u val="none"/>
        <vertAlign val="baseline"/>
        <color auto="1"/>
      </font>
      <fill>
        <patternFill patternType="none">
          <fgColor indexed="64"/>
          <bgColor auto="1"/>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alignment horizontal="center" textRotation="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border diagonalUp="0" diagonalDown="0" outline="0">
        <left/>
        <right style="thin">
          <color rgb="FF000000"/>
        </right>
        <top style="thin">
          <color rgb="FF000000"/>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7" tint="0.59999389629810485"/>
        </patternFill>
      </fill>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outline="0">
        <left/>
        <right/>
        <top style="thin">
          <color rgb="FF000000"/>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border diagonalUp="0" diagonalDown="0" outline="0">
        <left/>
        <right/>
        <top style="thin">
          <color rgb="FF000000"/>
        </top>
        <bottom style="thin">
          <color rgb="FF000000"/>
        </bottom>
      </border>
    </dxf>
    <dxf>
      <font>
        <strike val="0"/>
        <outline val="0"/>
        <shadow val="0"/>
        <u val="none"/>
        <vertAlign val="baseline"/>
        <color auto="1"/>
        <family val="2"/>
      </font>
      <fill>
        <patternFill patternType="none">
          <fgColor indexed="64"/>
          <bgColor auto="1"/>
        </patternFill>
      </fill>
    </dxf>
    <dxf>
      <border outline="0">
        <left style="thin">
          <color rgb="FF000000"/>
        </left>
        <right style="thin">
          <color rgb="FF000000"/>
        </right>
      </border>
    </dxf>
    <dxf>
      <font>
        <strike val="0"/>
        <outline val="0"/>
        <shadow val="0"/>
        <u val="none"/>
        <vertAlign val="baseline"/>
        <color auto="1"/>
        <family val="2"/>
      </font>
      <fill>
        <patternFill patternType="none">
          <fgColor indexed="64"/>
          <bgColor auto="1"/>
        </patternFill>
      </fill>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FC0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[DebreenaBruner_SBAM331_Data_Sheet_Copy_of_Employee.xlsx]Salary &amp; Performance!Employee Data by Dept</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Salary</a:t>
            </a:r>
            <a:r>
              <a:rPr lang="en-US" baseline="0"/>
              <a: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15:layout>
                <c:manualLayout>
                  <c:w val="0.1060038745693849"/>
                  <c:h val="5.6520274686531216E-2"/>
                </c:manualLayout>
              </c15:layout>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5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15:layout>
                <c:manualLayout>
                  <c:w val="0.1060038745693849"/>
                  <c:h val="5.6520274686531216E-2"/>
                </c:manualLayout>
              </c15:layout>
            </c:ext>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8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15:layout>
                <c:manualLayout>
                  <c:w val="0.1060038745693849"/>
                  <c:h val="5.6520274686531216E-2"/>
                </c:manualLayout>
              </c15:layout>
            </c:ext>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0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15:layout>
                <c:manualLayout>
                  <c:w val="0.1060038745693849"/>
                  <c:h val="5.6520274686531216E-2"/>
                </c:manualLayout>
              </c15:layout>
            </c:ext>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3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&amp; Performance'!$B$4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4D-4325-B319-3BD60864AF3C}"/>
              </c:ext>
            </c:extLst>
          </c:dPt>
          <c:cat>
            <c:strRef>
              <c:f>'Salary &amp; Performance'!$A$5:$A$13</c:f>
              <c:strCache>
                <c:ptCount val="8"/>
                <c:pt idx="0">
                  <c:v>Finance</c:v>
                </c:pt>
                <c:pt idx="1">
                  <c:v>HR</c:v>
                </c:pt>
                <c:pt idx="2">
                  <c:v>IT</c:v>
                </c:pt>
                <c:pt idx="3">
                  <c:v>Marketing</c:v>
                </c:pt>
                <c:pt idx="4">
                  <c:v>Operations</c:v>
                </c:pt>
                <c:pt idx="5">
                  <c:v>R&amp;D</c:v>
                </c:pt>
                <c:pt idx="6">
                  <c:v>Sales</c:v>
                </c:pt>
                <c:pt idx="7">
                  <c:v>Support</c:v>
                </c:pt>
              </c:strCache>
            </c:strRef>
          </c:cat>
          <c:val>
            <c:numRef>
              <c:f>'Salary &amp; Performance'!$B$5:$B$13</c:f>
              <c:numCache>
                <c:formatCode>_("$"* #,##0.00_);_("$"* \(#,##0.00\);_("$"* "-"??_);_(@_)</c:formatCode>
                <c:ptCount val="8"/>
                <c:pt idx="0">
                  <c:v>166207</c:v>
                </c:pt>
                <c:pt idx="1">
                  <c:v>290779</c:v>
                </c:pt>
                <c:pt idx="2">
                  <c:v>479325</c:v>
                </c:pt>
                <c:pt idx="3">
                  <c:v>192658</c:v>
                </c:pt>
                <c:pt idx="4">
                  <c:v>179869</c:v>
                </c:pt>
                <c:pt idx="5">
                  <c:v>257461</c:v>
                </c:pt>
                <c:pt idx="6">
                  <c:v>278190</c:v>
                </c:pt>
                <c:pt idx="7">
                  <c:v>46331</c:v>
                </c:pt>
              </c:numCache>
            </c:numRef>
          </c:val>
          <c:extLst>
            <c:ext xmlns:c16="http://schemas.microsoft.com/office/drawing/2014/chart" uri="{C3380CC4-5D6E-409C-BE32-E72D297353CC}">
              <c16:uniqueId val="{00000000-AA82-4CB8-9352-5A6702F4FED1}"/>
            </c:ext>
          </c:extLst>
        </c:ser>
        <c:dLbls>
          <c:showLegendKey val="0"/>
          <c:showVal val="0"/>
          <c:showCatName val="0"/>
          <c:showSerName val="0"/>
          <c:showPercent val="0"/>
          <c:showBubbleSize val="0"/>
        </c:dLbls>
        <c:gapWidth val="115"/>
        <c:overlap val="-20"/>
        <c:axId val="1551780991"/>
        <c:axId val="1551774271"/>
      </c:barChart>
      <c:catAx>
        <c:axId val="1551780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774271"/>
        <c:crosses val="autoZero"/>
        <c:auto val="1"/>
        <c:lblAlgn val="ctr"/>
        <c:lblOffset val="100"/>
        <c:noMultiLvlLbl val="0"/>
      </c:catAx>
      <c:valAx>
        <c:axId val="1551774271"/>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78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[DebreenaBruner_SBAM331_Data_Sheet_Copy_of_Employee.xlsx]Loans by Dept!PivotTable2</c:name>
    <c:fmtId val="0"/>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pivotFmt>
      <c:pivotFmt>
        <c:idx val="3"/>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'Loans by Dept'!$B$3</c:f>
              <c:strCache>
                <c:ptCount val="1"/>
                <c:pt idx="0">
                  <c:v>Sum of Loan Amount</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'Loans by Dept'!$A$4:$A$12</c:f>
              <c:strCache>
                <c:ptCount val="8"/>
                <c:pt idx="0">
                  <c:v>Finance</c:v>
                </c:pt>
                <c:pt idx="1">
                  <c:v>HR</c:v>
                </c:pt>
                <c:pt idx="2">
                  <c:v>IT</c:v>
                </c:pt>
                <c:pt idx="3">
                  <c:v>Marketing</c:v>
                </c:pt>
                <c:pt idx="4">
                  <c:v>Operations</c:v>
                </c:pt>
                <c:pt idx="5">
                  <c:v>R&amp;D</c:v>
                </c:pt>
                <c:pt idx="6">
                  <c:v>Sales</c:v>
                </c:pt>
                <c:pt idx="7">
                  <c:v>Support</c:v>
                </c:pt>
              </c:strCache>
            </c:strRef>
          </c:cat>
          <c:val>
            <c:numRef>
              <c:f>'Loans by Dept'!$B$4:$B$12</c:f>
              <c:numCache>
                <c:formatCode>_("$"* #,##0.00_);_("$"* \(#,##0.00\);_("$"* "-"??_);_(@_)</c:formatCode>
                <c:ptCount val="8"/>
                <c:pt idx="0">
                  <c:v>927774</c:v>
                </c:pt>
                <c:pt idx="1">
                  <c:v>671988</c:v>
                </c:pt>
                <c:pt idx="2">
                  <c:v>976974</c:v>
                </c:pt>
                <c:pt idx="3">
                  <c:v>755283</c:v>
                </c:pt>
                <c:pt idx="4">
                  <c:v>663114</c:v>
                </c:pt>
                <c:pt idx="5">
                  <c:v>442272</c:v>
                </c:pt>
                <c:pt idx="6">
                  <c:v>500548</c:v>
                </c:pt>
                <c:pt idx="7">
                  <c:v>682913</c:v>
                </c:pt>
              </c:numCache>
            </c:numRef>
          </c:val>
          <c:extLst>
            <c:ext xmlns:c16="http://schemas.microsoft.com/office/drawing/2014/chart" uri="{C3380CC4-5D6E-409C-BE32-E72D297353CC}">
              <c16:uniqueId val="{00000000-88D3-48E1-ADF6-A08479449BFE}"/>
            </c:ext>
          </c:extLst>
        </c:ser>
        <c:dLbls>
          <c:showLegendKey val="0"/>
          <c:showVal val="0"/>
          <c:showCatName val="0"/>
          <c:showSerName val="0"/>
          <c:showPercent val="0"/>
          <c:showBubbleSize val="0"/>
        </c:dLbls>
        <c:gapWidth val="219"/>
        <c:overlap val="-27"/>
        <c:axId val="1453762767"/>
        <c:axId val="1453751247"/>
      </c:barChart>
      <c:lineChart>
        <c:grouping val="standard"/>
        <c:varyColors val="0"/>
        <c:ser>
          <c:idx val="1"/>
          <c:order val="1"/>
          <c:tx>
            <c:strRef>
              <c:f>'Loans by Dept'!$C$3</c:f>
              <c:strCache>
                <c:ptCount val="1"/>
                <c:pt idx="0">
                  <c:v>Average of Interest Rate %</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'Loans by Dept'!$A$4:$A$12</c:f>
              <c:strCache>
                <c:ptCount val="8"/>
                <c:pt idx="0">
                  <c:v>Finance</c:v>
                </c:pt>
                <c:pt idx="1">
                  <c:v>HR</c:v>
                </c:pt>
                <c:pt idx="2">
                  <c:v>IT</c:v>
                </c:pt>
                <c:pt idx="3">
                  <c:v>Marketing</c:v>
                </c:pt>
                <c:pt idx="4">
                  <c:v>Operations</c:v>
                </c:pt>
                <c:pt idx="5">
                  <c:v>R&amp;D</c:v>
                </c:pt>
                <c:pt idx="6">
                  <c:v>Sales</c:v>
                </c:pt>
                <c:pt idx="7">
                  <c:v>Support</c:v>
                </c:pt>
              </c:strCache>
            </c:strRef>
          </c:cat>
          <c:val>
            <c:numRef>
              <c:f>'Loans by Dept'!$C$4:$C$12</c:f>
              <c:numCache>
                <c:formatCode>General</c:formatCode>
                <c:ptCount val="8"/>
                <c:pt idx="0">
                  <c:v>6.195333333333334</c:v>
                </c:pt>
                <c:pt idx="1">
                  <c:v>6.8850000000000007</c:v>
                </c:pt>
                <c:pt idx="2">
                  <c:v>6.3377777777777791</c:v>
                </c:pt>
                <c:pt idx="3">
                  <c:v>6.6741666666666655</c:v>
                </c:pt>
                <c:pt idx="4">
                  <c:v>6.9928571428571447</c:v>
                </c:pt>
                <c:pt idx="5">
                  <c:v>6.2344444444444447</c:v>
                </c:pt>
                <c:pt idx="6">
                  <c:v>7.3088888888888892</c:v>
                </c:pt>
                <c:pt idx="7">
                  <c:v>7.8599999999999994</c:v>
                </c:pt>
              </c:numCache>
            </c:numRef>
          </c:val>
          <c:smooth val="0"/>
          <c:extLst>
            <c:ext xmlns:c16="http://schemas.microsoft.com/office/drawing/2014/chart" uri="{C3380CC4-5D6E-409C-BE32-E72D297353CC}">
              <c16:uniqueId val="{00000001-88D3-48E1-ADF6-A08479449BFE}"/>
            </c:ext>
          </c:extLst>
        </c:ser>
        <c:dLbls>
          <c:showLegendKey val="0"/>
          <c:showVal val="0"/>
          <c:showCatName val="0"/>
          <c:showSerName val="0"/>
          <c:showPercent val="0"/>
          <c:showBubbleSize val="0"/>
        </c:dLbls>
        <c:marker val="1"/>
        <c:smooth val="0"/>
        <c:axId val="1225031551"/>
        <c:axId val="1225023391"/>
      </c:lineChart>
      <c:catAx>
        <c:axId val="1453762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751247"/>
        <c:crosses val="autoZero"/>
        <c:auto val="1"/>
        <c:lblAlgn val="ctr"/>
        <c:lblOffset val="100"/>
        <c:noMultiLvlLbl val="0"/>
      </c:catAx>
      <c:valAx>
        <c:axId val="1453751247"/>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762767"/>
        <c:crosses val="autoZero"/>
        <c:crossBetween val="between"/>
      </c:valAx>
      <c:valAx>
        <c:axId val="1225023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5031551"/>
        <c:crosses val="max"/>
        <c:crossBetween val="between"/>
      </c:valAx>
      <c:catAx>
        <c:axId val="1225031551"/>
        <c:scaling>
          <c:orientation val="minMax"/>
        </c:scaling>
        <c:delete val="1"/>
        <c:axPos val="b"/>
        <c:numFmt formatCode="General" sourceLinked="1"/>
        <c:majorTickMark val="out"/>
        <c:minorTickMark val="none"/>
        <c:tickLblPos val="nextTo"/>
        <c:crossAx val="12250233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[DebreenaBruner_SBAM331_Data_Sheet_Copy_of_Employee.xlsx]Employee Tenure!PivotTable3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Tenure'!$B$3</c:f>
              <c:strCache>
                <c:ptCount val="1"/>
                <c:pt idx="0">
                  <c:v>Count of Emp_Initial_Code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 Tenure'!$A$4:$A$8</c:f>
              <c:strCache>
                <c:ptCount val="4"/>
                <c:pt idx="0">
                  <c:v>East</c:v>
                </c:pt>
                <c:pt idx="1">
                  <c:v>North</c:v>
                </c:pt>
                <c:pt idx="2">
                  <c:v>South</c:v>
                </c:pt>
                <c:pt idx="3">
                  <c:v>West</c:v>
                </c:pt>
              </c:strCache>
            </c:strRef>
          </c:cat>
          <c:val>
            <c:numRef>
              <c:f>'Employee Tenure'!$B$4:$B$8</c:f>
              <c:numCache>
                <c:formatCode>General</c:formatCode>
                <c:ptCount val="4"/>
                <c:pt idx="0">
                  <c:v>32</c:v>
                </c:pt>
                <c:pt idx="1">
                  <c:v>25</c:v>
                </c:pt>
                <c:pt idx="2">
                  <c:v>19</c:v>
                </c:pt>
                <c:pt idx="3">
                  <c:v>24</c:v>
                </c:pt>
              </c:numCache>
            </c:numRef>
          </c:val>
          <c:extLst>
            <c:ext xmlns:c16="http://schemas.microsoft.com/office/drawing/2014/chart" uri="{C3380CC4-5D6E-409C-BE32-E72D297353CC}">
              <c16:uniqueId val="{00000000-3BD3-4926-BF7F-DEF28E615B08}"/>
            </c:ext>
          </c:extLst>
        </c:ser>
        <c:ser>
          <c:idx val="1"/>
          <c:order val="1"/>
          <c:tx>
            <c:strRef>
              <c:f>'Employee Tenure'!$C$3</c:f>
              <c:strCache>
                <c:ptCount val="1"/>
                <c:pt idx="0">
                  <c:v>Average of Years with Company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 Tenure'!$A$4:$A$8</c:f>
              <c:strCache>
                <c:ptCount val="4"/>
                <c:pt idx="0">
                  <c:v>East</c:v>
                </c:pt>
                <c:pt idx="1">
                  <c:v>North</c:v>
                </c:pt>
                <c:pt idx="2">
                  <c:v>South</c:v>
                </c:pt>
                <c:pt idx="3">
                  <c:v>West</c:v>
                </c:pt>
              </c:strCache>
            </c:strRef>
          </c:cat>
          <c:val>
            <c:numRef>
              <c:f>'Employee Tenure'!$C$4:$C$8</c:f>
              <c:numCache>
                <c:formatCode>General</c:formatCode>
                <c:ptCount val="4"/>
                <c:pt idx="0">
                  <c:v>6.9375</c:v>
                </c:pt>
                <c:pt idx="1">
                  <c:v>6.4</c:v>
                </c:pt>
                <c:pt idx="2">
                  <c:v>6.7368421052631575</c:v>
                </c:pt>
                <c:pt idx="3">
                  <c:v>7.333333333333333</c:v>
                </c:pt>
              </c:numCache>
            </c:numRef>
          </c:val>
          <c:extLst>
            <c:ext xmlns:c16="http://schemas.microsoft.com/office/drawing/2014/chart" uri="{C3380CC4-5D6E-409C-BE32-E72D297353CC}">
              <c16:uniqueId val="{00000001-3BD3-4926-BF7F-DEF28E615B08}"/>
            </c:ext>
          </c:extLst>
        </c:ser>
        <c:dLbls>
          <c:showLegendKey val="0"/>
          <c:showVal val="0"/>
          <c:showCatName val="0"/>
          <c:showSerName val="0"/>
          <c:showPercent val="0"/>
          <c:showBubbleSize val="0"/>
        </c:dLbls>
        <c:gapWidth val="100"/>
        <c:overlap val="-24"/>
        <c:axId val="217599855"/>
        <c:axId val="217600335"/>
      </c:barChart>
      <c:catAx>
        <c:axId val="217599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7600335"/>
        <c:crosses val="autoZero"/>
        <c:auto val="1"/>
        <c:lblAlgn val="ctr"/>
        <c:lblOffset val="100"/>
        <c:noMultiLvlLbl val="0"/>
      </c:catAx>
      <c:valAx>
        <c:axId val="217600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75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[DebreenaBruner_SBAM331_Data_Sheet_Copy_of_Employee.xlsx]Tenure vs Performance!PivotTable4</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'Tenure vs Performance'!$B$3</c:f>
              <c:strCache>
                <c:ptCount val="1"/>
                <c:pt idx="0">
                  <c:v>Average of Years with Company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vs Performance'!$A$4:$A$12</c:f>
              <c:strCache>
                <c:ptCount val="8"/>
                <c:pt idx="0">
                  <c:v>Finance</c:v>
                </c:pt>
                <c:pt idx="1">
                  <c:v>HR</c:v>
                </c:pt>
                <c:pt idx="2">
                  <c:v>IT</c:v>
                </c:pt>
                <c:pt idx="3">
                  <c:v>Marketing</c:v>
                </c:pt>
                <c:pt idx="4">
                  <c:v>Operations</c:v>
                </c:pt>
                <c:pt idx="5">
                  <c:v>R&amp;D</c:v>
                </c:pt>
                <c:pt idx="6">
                  <c:v>Sales</c:v>
                </c:pt>
                <c:pt idx="7">
                  <c:v>Support</c:v>
                </c:pt>
              </c:strCache>
            </c:strRef>
          </c:cat>
          <c:val>
            <c:numRef>
              <c:f>'Tenure vs Performance'!$B$4:$B$12</c:f>
              <c:numCache>
                <c:formatCode>0.0</c:formatCode>
                <c:ptCount val="8"/>
                <c:pt idx="0">
                  <c:v>7</c:v>
                </c:pt>
                <c:pt idx="1">
                  <c:v>7.166666666666667</c:v>
                </c:pt>
                <c:pt idx="2">
                  <c:v>6.833333333333333</c:v>
                </c:pt>
                <c:pt idx="3">
                  <c:v>6</c:v>
                </c:pt>
                <c:pt idx="4">
                  <c:v>7.7857142857142856</c:v>
                </c:pt>
                <c:pt idx="5">
                  <c:v>5.8888888888888893</c:v>
                </c:pt>
                <c:pt idx="6">
                  <c:v>7.1111111111111107</c:v>
                </c:pt>
                <c:pt idx="7">
                  <c:v>6.7272727272727275</c:v>
                </c:pt>
              </c:numCache>
            </c:numRef>
          </c:val>
          <c:smooth val="0"/>
          <c:extLst>
            <c:ext xmlns:c16="http://schemas.microsoft.com/office/drawing/2014/chart" uri="{C3380CC4-5D6E-409C-BE32-E72D297353CC}">
              <c16:uniqueId val="{00000000-FAF7-4295-9332-EEEF1CADB0AE}"/>
            </c:ext>
          </c:extLst>
        </c:ser>
        <c:ser>
          <c:idx val="1"/>
          <c:order val="1"/>
          <c:tx>
            <c:strRef>
              <c:f>'Tenure vs Performance'!$C$3</c:f>
              <c:strCache>
                <c:ptCount val="1"/>
                <c:pt idx="0">
                  <c:v>Average of Performance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 vs Performance'!$A$4:$A$12</c:f>
              <c:strCache>
                <c:ptCount val="8"/>
                <c:pt idx="0">
                  <c:v>Finance</c:v>
                </c:pt>
                <c:pt idx="1">
                  <c:v>HR</c:v>
                </c:pt>
                <c:pt idx="2">
                  <c:v>IT</c:v>
                </c:pt>
                <c:pt idx="3">
                  <c:v>Marketing</c:v>
                </c:pt>
                <c:pt idx="4">
                  <c:v>Operations</c:v>
                </c:pt>
                <c:pt idx="5">
                  <c:v>R&amp;D</c:v>
                </c:pt>
                <c:pt idx="6">
                  <c:v>Sales</c:v>
                </c:pt>
                <c:pt idx="7">
                  <c:v>Support</c:v>
                </c:pt>
              </c:strCache>
            </c:strRef>
          </c:cat>
          <c:val>
            <c:numRef>
              <c:f>'Tenure vs Performance'!$C$4:$C$12</c:f>
              <c:numCache>
                <c:formatCode>0.0</c:formatCode>
                <c:ptCount val="8"/>
                <c:pt idx="0">
                  <c:v>3.8400000000000007</c:v>
                </c:pt>
                <c:pt idx="1">
                  <c:v>4.166666666666667</c:v>
                </c:pt>
                <c:pt idx="2">
                  <c:v>3.9222222222222221</c:v>
                </c:pt>
                <c:pt idx="3">
                  <c:v>4.0166666666666666</c:v>
                </c:pt>
                <c:pt idx="4">
                  <c:v>3.9499999999999997</c:v>
                </c:pt>
                <c:pt idx="5">
                  <c:v>3.8555555555555552</c:v>
                </c:pt>
                <c:pt idx="6">
                  <c:v>4.333333333333333</c:v>
                </c:pt>
                <c:pt idx="7">
                  <c:v>4.1181818181818182</c:v>
                </c:pt>
              </c:numCache>
            </c:numRef>
          </c:val>
          <c:smooth val="0"/>
          <c:extLst>
            <c:ext xmlns:c16="http://schemas.microsoft.com/office/drawing/2014/chart" uri="{C3380CC4-5D6E-409C-BE32-E72D297353CC}">
              <c16:uniqueId val="{00000001-FAF7-4295-9332-EEEF1CADB0AE}"/>
            </c:ext>
          </c:extLst>
        </c:ser>
        <c:dLbls>
          <c:showLegendKey val="0"/>
          <c:showVal val="0"/>
          <c:showCatName val="0"/>
          <c:showSerName val="0"/>
          <c:showPercent val="0"/>
          <c:showBubbleSize val="0"/>
        </c:dLbls>
        <c:marker val="1"/>
        <c:smooth val="0"/>
        <c:axId val="250177984"/>
        <c:axId val="250177024"/>
      </c:lineChart>
      <c:catAx>
        <c:axId val="2501779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177024"/>
        <c:crosses val="autoZero"/>
        <c:auto val="1"/>
        <c:lblAlgn val="ctr"/>
        <c:lblOffset val="100"/>
        <c:noMultiLvlLbl val="0"/>
      </c:catAx>
      <c:valAx>
        <c:axId val="250177024"/>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17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1F1F1F"/>
                </a:solidFill>
                <a:latin typeface="+mn-lt"/>
                <a:ea typeface="+mn-ea"/>
                <a:cs typeface="+mn-cs"/>
              </a:defRPr>
            </a:pPr>
            <a:r>
              <a:rPr lang="en-US"/>
              <a:t>Total Monthly Sales by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1F1F1F"/>
              </a:solidFill>
              <a:latin typeface="+mn-lt"/>
              <a:ea typeface="+mn-ea"/>
              <a:cs typeface="+mn-cs"/>
            </a:defRPr>
          </a:pPr>
          <a:endParaRPr lang="en-US"/>
        </a:p>
      </c:txPr>
    </c:title>
    <c:autoTitleDeleted val="0"/>
    <c:plotArea>
      <c:layout/>
      <c:barChart>
        <c:barDir val="bar"/>
        <c:grouping val="clustered"/>
        <c:varyColors val="0"/>
        <c:ser>
          <c:idx val="0"/>
          <c:order val="0"/>
          <c:tx>
            <c:strRef>
              <c:f>'Data Set Analysis Annex'!$W$2</c:f>
              <c:strCache>
                <c:ptCount val="1"/>
                <c:pt idx="0">
                  <c:v>Total Monthly Sales</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Set Analysis Annex'!$V$3:$V$10</c:f>
              <c:strCache>
                <c:ptCount val="8"/>
                <c:pt idx="0">
                  <c:v>IT</c:v>
                </c:pt>
                <c:pt idx="1">
                  <c:v>Finance</c:v>
                </c:pt>
                <c:pt idx="2">
                  <c:v>Marketing</c:v>
                </c:pt>
                <c:pt idx="3">
                  <c:v>Operations</c:v>
                </c:pt>
                <c:pt idx="4">
                  <c:v>HR</c:v>
                </c:pt>
                <c:pt idx="5">
                  <c:v>R&amp;D</c:v>
                </c:pt>
                <c:pt idx="6">
                  <c:v>Sales</c:v>
                </c:pt>
                <c:pt idx="7">
                  <c:v>Support</c:v>
                </c:pt>
              </c:strCache>
            </c:strRef>
          </c:cat>
          <c:val>
            <c:numRef>
              <c:f>'Data Set Analysis Annex'!$W$3:$W$10</c:f>
              <c:numCache>
                <c:formatCode>"$"#,##0</c:formatCode>
                <c:ptCount val="8"/>
                <c:pt idx="0">
                  <c:v>201752</c:v>
                </c:pt>
                <c:pt idx="1">
                  <c:v>152924</c:v>
                </c:pt>
                <c:pt idx="2">
                  <c:v>143585</c:v>
                </c:pt>
                <c:pt idx="3">
                  <c:v>129540</c:v>
                </c:pt>
                <c:pt idx="4">
                  <c:v>129411</c:v>
                </c:pt>
                <c:pt idx="5">
                  <c:v>105056</c:v>
                </c:pt>
                <c:pt idx="6">
                  <c:v>97806</c:v>
                </c:pt>
                <c:pt idx="7">
                  <c:v>79524</c:v>
                </c:pt>
              </c:numCache>
            </c:numRef>
          </c:val>
          <c:extLst>
            <c:ext xmlns:c16="http://schemas.microsoft.com/office/drawing/2014/chart" uri="{C3380CC4-5D6E-409C-BE32-E72D297353CC}">
              <c16:uniqueId val="{00000000-0A5A-419D-9990-0AA1DCF25F26}"/>
            </c:ext>
          </c:extLst>
        </c:ser>
        <c:dLbls>
          <c:showLegendKey val="0"/>
          <c:showVal val="0"/>
          <c:showCatName val="0"/>
          <c:showSerName val="0"/>
          <c:showPercent val="0"/>
          <c:showBubbleSize val="0"/>
        </c:dLbls>
        <c:gapWidth val="182"/>
        <c:axId val="115424384"/>
        <c:axId val="115417184"/>
      </c:barChart>
      <c:catAx>
        <c:axId val="11542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7184"/>
        <c:crosses val="autoZero"/>
        <c:auto val="1"/>
        <c:lblAlgn val="ctr"/>
        <c:lblOffset val="100"/>
        <c:noMultiLvlLbl val="0"/>
      </c:catAx>
      <c:valAx>
        <c:axId val="1154171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438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1F1F1F"/>
                </a:solidFill>
                <a:latin typeface="+mn-lt"/>
                <a:ea typeface="+mn-ea"/>
                <a:cs typeface="+mn-cs"/>
              </a:defRPr>
            </a:pPr>
            <a:r>
              <a:rPr lang="en-US"/>
              <a:t>Average Salary by Region</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1F1F1F"/>
              </a:solidFill>
              <a:latin typeface="+mn-lt"/>
              <a:ea typeface="+mn-ea"/>
              <a:cs typeface="+mn-cs"/>
            </a:defRPr>
          </a:pPr>
          <a:endParaRPr lang="en-US"/>
        </a:p>
      </c:txPr>
    </c:title>
    <c:autoTitleDeleted val="0"/>
    <c:plotArea>
      <c:layout/>
      <c:barChart>
        <c:barDir val="col"/>
        <c:grouping val="clustered"/>
        <c:varyColors val="0"/>
        <c:ser>
          <c:idx val="0"/>
          <c:order val="0"/>
          <c:tx>
            <c:strRef>
              <c:f>'Data Set Analysis Annex'!$Z$2</c:f>
              <c:strCache>
                <c:ptCount val="1"/>
                <c:pt idx="0">
                  <c:v>Average Salary</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Set Analysis Annex'!$Y$3:$Y$6</c:f>
              <c:strCache>
                <c:ptCount val="4"/>
                <c:pt idx="0">
                  <c:v>North</c:v>
                </c:pt>
                <c:pt idx="1">
                  <c:v>South</c:v>
                </c:pt>
                <c:pt idx="2">
                  <c:v>East</c:v>
                </c:pt>
                <c:pt idx="3">
                  <c:v>West</c:v>
                </c:pt>
              </c:strCache>
            </c:strRef>
          </c:cat>
          <c:val>
            <c:numRef>
              <c:f>'Data Set Analysis Annex'!$Z$3:$Z$6</c:f>
              <c:numCache>
                <c:formatCode>"$"#,##0</c:formatCode>
                <c:ptCount val="4"/>
                <c:pt idx="0">
                  <c:v>84977.76</c:v>
                </c:pt>
                <c:pt idx="1">
                  <c:v>84591.210526315786</c:v>
                </c:pt>
                <c:pt idx="2">
                  <c:v>81303.1875</c:v>
                </c:pt>
                <c:pt idx="3">
                  <c:v>78784.166666666672</c:v>
                </c:pt>
              </c:numCache>
            </c:numRef>
          </c:val>
          <c:extLst>
            <c:ext xmlns:c16="http://schemas.microsoft.com/office/drawing/2014/chart" uri="{C3380CC4-5D6E-409C-BE32-E72D297353CC}">
              <c16:uniqueId val="{00000000-D3B0-4A0B-BA88-F0FB2C51BEFC}"/>
            </c:ext>
          </c:extLst>
        </c:ser>
        <c:dLbls>
          <c:showLegendKey val="0"/>
          <c:showVal val="0"/>
          <c:showCatName val="0"/>
          <c:showSerName val="0"/>
          <c:showPercent val="0"/>
          <c:showBubbleSize val="0"/>
        </c:dLbls>
        <c:gapWidth val="219"/>
        <c:overlap val="-27"/>
        <c:axId val="115423904"/>
        <c:axId val="115420544"/>
      </c:barChart>
      <c:catAx>
        <c:axId val="1154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0544"/>
        <c:crosses val="autoZero"/>
        <c:auto val="1"/>
        <c:lblAlgn val="ctr"/>
        <c:lblOffset val="100"/>
        <c:noMultiLvlLbl val="0"/>
      </c:catAx>
      <c:valAx>
        <c:axId val="115420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390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1F1F1F"/>
                </a:solidFill>
                <a:latin typeface="+mn-lt"/>
                <a:ea typeface="+mn-ea"/>
                <a:cs typeface="+mn-cs"/>
              </a:defRPr>
            </a:pPr>
            <a:r>
              <a:rPr lang="en-US"/>
              <a:t>Average Performance Rating by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1F1F1F"/>
              </a:solidFill>
              <a:latin typeface="+mn-lt"/>
              <a:ea typeface="+mn-ea"/>
              <a:cs typeface="+mn-cs"/>
            </a:defRPr>
          </a:pPr>
          <a:endParaRPr lang="en-US"/>
        </a:p>
      </c:txPr>
    </c:title>
    <c:autoTitleDeleted val="0"/>
    <c:plotArea>
      <c:layout/>
      <c:barChart>
        <c:barDir val="col"/>
        <c:grouping val="clustered"/>
        <c:varyColors val="0"/>
        <c:ser>
          <c:idx val="0"/>
          <c:order val="0"/>
          <c:tx>
            <c:strRef>
              <c:f>'Data Set Analysis Annex'!$AC$2</c:f>
              <c:strCache>
                <c:ptCount val="1"/>
                <c:pt idx="0">
                  <c:v>Average Performance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Set Analysis Annex'!$AB$3:$AB$10</c:f>
              <c:strCache>
                <c:ptCount val="8"/>
                <c:pt idx="0">
                  <c:v>Sales</c:v>
                </c:pt>
                <c:pt idx="1">
                  <c:v>HR</c:v>
                </c:pt>
                <c:pt idx="2">
                  <c:v>Support</c:v>
                </c:pt>
                <c:pt idx="3">
                  <c:v>Marketing</c:v>
                </c:pt>
                <c:pt idx="4">
                  <c:v>Operations</c:v>
                </c:pt>
                <c:pt idx="5">
                  <c:v>IT</c:v>
                </c:pt>
                <c:pt idx="6">
                  <c:v>R&amp;D</c:v>
                </c:pt>
                <c:pt idx="7">
                  <c:v>Finance</c:v>
                </c:pt>
              </c:strCache>
            </c:strRef>
          </c:cat>
          <c:val>
            <c:numRef>
              <c:f>'Data Set Analysis Annex'!$AC$3:$AC$10</c:f>
              <c:numCache>
                <c:formatCode>0.00</c:formatCode>
                <c:ptCount val="8"/>
                <c:pt idx="0">
                  <c:v>4.333333333333333</c:v>
                </c:pt>
                <c:pt idx="1">
                  <c:v>4.166666666666667</c:v>
                </c:pt>
                <c:pt idx="2">
                  <c:v>4.1181818181818182</c:v>
                </c:pt>
                <c:pt idx="3">
                  <c:v>4.0166666666666666</c:v>
                </c:pt>
                <c:pt idx="4">
                  <c:v>3.9499999999999997</c:v>
                </c:pt>
                <c:pt idx="5">
                  <c:v>3.9222222222222221</c:v>
                </c:pt>
                <c:pt idx="6">
                  <c:v>3.8555555555555552</c:v>
                </c:pt>
                <c:pt idx="7">
                  <c:v>3.8400000000000007</c:v>
                </c:pt>
              </c:numCache>
            </c:numRef>
          </c:val>
          <c:extLst>
            <c:ext xmlns:c16="http://schemas.microsoft.com/office/drawing/2014/chart" uri="{C3380CC4-5D6E-409C-BE32-E72D297353CC}">
              <c16:uniqueId val="{00000000-344B-4AF1-BA4A-EED137CD8DD1}"/>
            </c:ext>
          </c:extLst>
        </c:ser>
        <c:dLbls>
          <c:showLegendKey val="0"/>
          <c:showVal val="0"/>
          <c:showCatName val="0"/>
          <c:showSerName val="0"/>
          <c:showPercent val="0"/>
          <c:showBubbleSize val="0"/>
        </c:dLbls>
        <c:gapWidth val="219"/>
        <c:overlap val="-27"/>
        <c:axId val="147655760"/>
        <c:axId val="147653840"/>
      </c:barChart>
      <c:catAx>
        <c:axId val="14765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3840"/>
        <c:crosses val="autoZero"/>
        <c:auto val="1"/>
        <c:lblAlgn val="ctr"/>
        <c:lblOffset val="100"/>
        <c:noMultiLvlLbl val="0"/>
      </c:catAx>
      <c:valAx>
        <c:axId val="1476538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5760"/>
        <c:crosses val="autoZero"/>
        <c:crossBetween val="between"/>
        <c:majorUnit val="1"/>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1362075</xdr:colOff>
      <xdr:row>12</xdr:row>
      <xdr:rowOff>19050</xdr:rowOff>
    </xdr:from>
    <xdr:to>
      <xdr:col>8</xdr:col>
      <xdr:colOff>1457325</xdr:colOff>
      <xdr:row>26</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70F3321-31BA-7FB6-DD18-623F95569C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92000" y="2305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absoluteAnchor>
    <xdr:pos x="2905125" y="0"/>
    <xdr:ext cx="8665221" cy="6288186"/>
    <xdr:graphicFrame macro="">
      <xdr:nvGraphicFramePr>
        <xdr:cNvPr id="13" name="Chart 12">
          <a:extLst>
            <a:ext uri="{FF2B5EF4-FFF2-40B4-BE49-F238E27FC236}">
              <a16:creationId xmlns:a16="http://schemas.microsoft.com/office/drawing/2014/main" id="{43ED70C2-5026-4D13-AAFC-98E1B5854C1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5</xdr:col>
      <xdr:colOff>171450</xdr:colOff>
      <xdr:row>0</xdr:row>
      <xdr:rowOff>66675</xdr:rowOff>
    </xdr:from>
    <xdr:to>
      <xdr:col>15</xdr:col>
      <xdr:colOff>228600</xdr:colOff>
      <xdr:row>16</xdr:row>
      <xdr:rowOff>176212</xdr:rowOff>
    </xdr:to>
    <xdr:graphicFrame macro="">
      <xdr:nvGraphicFramePr>
        <xdr:cNvPr id="2" name="Chart 1">
          <a:extLst>
            <a:ext uri="{FF2B5EF4-FFF2-40B4-BE49-F238E27FC236}">
              <a16:creationId xmlns:a16="http://schemas.microsoft.com/office/drawing/2014/main" id="{A2CA7F2A-9FC6-D47B-BBD8-87A6F30B6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4762</xdr:rowOff>
    </xdr:from>
    <xdr:to>
      <xdr:col>11</xdr:col>
      <xdr:colOff>304800</xdr:colOff>
      <xdr:row>15</xdr:row>
      <xdr:rowOff>80962</xdr:rowOff>
    </xdr:to>
    <xdr:graphicFrame macro="">
      <xdr:nvGraphicFramePr>
        <xdr:cNvPr id="2" name="Chart 1">
          <a:extLst>
            <a:ext uri="{FF2B5EF4-FFF2-40B4-BE49-F238E27FC236}">
              <a16:creationId xmlns:a16="http://schemas.microsoft.com/office/drawing/2014/main" id="{782FF4F1-0E3C-4DEB-3B4D-CC6F8A734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71436</xdr:colOff>
      <xdr:row>1</xdr:row>
      <xdr:rowOff>61912</xdr:rowOff>
    </xdr:from>
    <xdr:to>
      <xdr:col>15</xdr:col>
      <xdr:colOff>752474</xdr:colOff>
      <xdr:row>22</xdr:row>
      <xdr:rowOff>0</xdr:rowOff>
    </xdr:to>
    <xdr:graphicFrame macro="">
      <xdr:nvGraphicFramePr>
        <xdr:cNvPr id="3" name="Chart 2">
          <a:extLst>
            <a:ext uri="{FF2B5EF4-FFF2-40B4-BE49-F238E27FC236}">
              <a16:creationId xmlns:a16="http://schemas.microsoft.com/office/drawing/2014/main" id="{651FFC43-8284-6453-24D9-FE324EEB0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0</xdr:rowOff>
    </xdr:from>
    <xdr:to>
      <xdr:col>8</xdr:col>
      <xdr:colOff>0</xdr:colOff>
      <xdr:row>31</xdr:row>
      <xdr:rowOff>0</xdr:rowOff>
    </xdr:to>
    <xdr:graphicFrame macro="">
      <xdr:nvGraphicFramePr>
        <xdr:cNvPr id="2" name="Chart 1">
          <a:extLst>
            <a:ext uri="{FF2B5EF4-FFF2-40B4-BE49-F238E27FC236}">
              <a16:creationId xmlns:a16="http://schemas.microsoft.com/office/drawing/2014/main" id="{5D011457-8D95-30D9-579E-85F915006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16</xdr:col>
      <xdr:colOff>0</xdr:colOff>
      <xdr:row>31</xdr:row>
      <xdr:rowOff>0</xdr:rowOff>
    </xdr:to>
    <xdr:graphicFrame macro="">
      <xdr:nvGraphicFramePr>
        <xdr:cNvPr id="3" name="Chart 2">
          <a:extLst>
            <a:ext uri="{FF2B5EF4-FFF2-40B4-BE49-F238E27FC236}">
              <a16:creationId xmlns:a16="http://schemas.microsoft.com/office/drawing/2014/main" id="{727A1D98-3856-37F7-965A-16058B337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16</xdr:col>
      <xdr:colOff>0</xdr:colOff>
      <xdr:row>47</xdr:row>
      <xdr:rowOff>0</xdr:rowOff>
    </xdr:to>
    <xdr:graphicFrame macro="">
      <xdr:nvGraphicFramePr>
        <xdr:cNvPr id="4" name="Chart 3">
          <a:extLst>
            <a:ext uri="{FF2B5EF4-FFF2-40B4-BE49-F238E27FC236}">
              <a16:creationId xmlns:a16="http://schemas.microsoft.com/office/drawing/2014/main" id="{65DB79C3-1FF3-B16F-1AF4-A3191666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bie Bru" refreshedDate="46164.825944328702" createdVersion="8" refreshedVersion="8" minRefreshableVersion="3" recordCount="100" xr:uid="{412489ED-1319-4988-9C35-742C71756650}">
  <cacheSource type="worksheet">
    <worksheetSource name="EmployeeTable3"/>
  </cacheSource>
  <cacheFields count="28">
    <cacheField name="Employee ID" numFmtId="0">
      <sharedItems containsSemiMixedTypes="0" containsString="0" containsNumber="1" containsInteger="1" minValue="1" maxValue="100"/>
    </cacheField>
    <cacheField name="Email IDs" numFmtId="0">
      <sharedItems/>
    </cacheField>
    <cacheField name="Title" numFmtId="0">
      <sharedItems/>
    </cacheField>
    <cacheField name="First Name" numFmtId="0">
      <sharedItems/>
    </cacheField>
    <cacheField name="Last Name" numFmtId="0">
      <sharedItems/>
    </cacheField>
    <cacheField name="Emp_Initial_Code" numFmtId="0">
      <sharedItems count="10">
        <s v="Bob"/>
        <s v="Davi"/>
        <s v="Henr"/>
        <s v="Fran"/>
        <s v="Grac"/>
        <s v="Caro"/>
        <s v="Alic"/>
        <s v="Eva"/>
        <s v="Isla"/>
        <s v="Jack"/>
      </sharedItems>
    </cacheField>
    <cacheField name="Email" numFmtId="0">
      <sharedItems containsNonDate="0" containsString="0" containsBlank="1"/>
    </cacheField>
    <cacheField name="Phone Extension" numFmtId="0">
      <sharedItems/>
    </cacheField>
    <cacheField name="Phone Extension Updated" numFmtId="0">
      <sharedItems/>
    </cacheField>
    <cacheField name="Department" numFmtId="0">
      <sharedItems count="8">
        <s v="Support"/>
        <s v="R&amp;D"/>
        <s v="HR"/>
        <s v="Operations"/>
        <s v="Marketing"/>
        <s v="IT"/>
        <s v="Sales"/>
        <s v="Finance"/>
      </sharedItems>
    </cacheField>
    <cacheField name="Joining Date" numFmtId="0">
      <sharedItems/>
    </cacheField>
    <cacheField name="Joining Date USA Format" numFmtId="0">
      <sharedItems/>
    </cacheField>
    <cacheField name="Salary" numFmtId="44">
      <sharedItems containsSemiMixedTypes="0" containsString="0" containsNumber="1" containsInteger="1" minValue="41134" maxValue="119285"/>
    </cacheField>
    <cacheField name="Bonus" numFmtId="9">
      <sharedItems containsMixedTypes="1" containsNumber="1" minValue="0.18" maxValue="0.18"/>
    </cacheField>
    <cacheField name="Region" numFmtId="0">
      <sharedItems count="4">
        <s v="South"/>
        <s v="West"/>
        <s v="North"/>
        <s v="East"/>
      </sharedItems>
    </cacheField>
    <cacheField name="Performance Rating" numFmtId="0">
      <sharedItems containsSemiMixedTypes="0" containsString="0" containsNumber="1" minValue="3" maxValue="5" count="21">
        <n v="4.7"/>
        <n v="3"/>
        <n v="3.6"/>
        <n v="3.4"/>
        <n v="3.5"/>
        <n v="4"/>
        <n v="4.5"/>
        <n v="4.9000000000000004"/>
        <n v="4.3"/>
        <n v="4.5999999999999996"/>
        <n v="4.0999999999999996"/>
        <n v="3.1"/>
        <n v="5"/>
        <n v="4.2"/>
        <n v="3.2"/>
        <n v="3.7"/>
        <n v="4.4000000000000004"/>
        <n v="3.3"/>
        <n v="3.8"/>
        <n v="3.9"/>
        <n v="4.8"/>
      </sharedItems>
    </cacheField>
    <cacheField name="Performance Percentile" numFmtId="0">
      <sharedItems/>
    </cacheField>
    <cacheField name="Monthly Sales" numFmtId="44">
      <sharedItems containsSemiMixedTypes="0" containsString="0" containsNumber="1" containsInteger="1" minValue="2161" maxValue="19912"/>
    </cacheField>
    <cacheField name="Loan Amount" numFmtId="44">
      <sharedItems containsSemiMixedTypes="0" containsString="0" containsNumber="1" containsInteger="1" minValue="10206" maxValue="99474"/>
    </cacheField>
    <cacheField name="Interest Rate %" numFmtId="0">
      <sharedItems containsSemiMixedTypes="0" containsString="0" containsNumber="1" minValue="3.13" maxValue="9.9700000000000006"/>
    </cacheField>
    <cacheField name="Loan Term (Months)" numFmtId="0">
      <sharedItems containsSemiMixedTypes="0" containsString="0" containsNumber="1" containsInteger="1" minValue="12" maxValue="59"/>
    </cacheField>
    <cacheField name="NPV" numFmtId="8">
      <sharedItems containsSemiMixedTypes="0" containsString="0" containsNumber="1" minValue="2058.0952380952381" maxValue="18963.809523809523"/>
    </cacheField>
    <cacheField name="Designation" numFmtId="0">
      <sharedItems/>
    </cacheField>
    <cacheField name="Region Code" numFmtId="0">
      <sharedItems/>
    </cacheField>
    <cacheField name="EM_Code" numFmtId="0">
      <sharedItems/>
    </cacheField>
    <cacheField name="Promotion Eligibility" numFmtId="0">
      <sharedItems/>
    </cacheField>
    <cacheField name="Years with Company" numFmtId="0">
      <sharedItems containsSemiMixedTypes="0" containsString="0" containsNumber="1" containsInteger="1" minValue="3" maxValue="11" count="9">
        <n v="4"/>
        <n v="5"/>
        <n v="10"/>
        <n v="8"/>
        <n v="7"/>
        <n v="9"/>
        <n v="3"/>
        <n v="6"/>
        <n v="11"/>
      </sharedItems>
    </cacheField>
    <cacheField name="Monthly Loan Payment (PMT) - 20" numFmtId="8">
      <sharedItems containsSemiMixedTypes="0" containsString="0" containsNumber="1" minValue="261.28517605893887" maxValue="6726.6376911494126"/>
    </cacheField>
  </cacheFields>
  <extLst>
    <ext xmlns:x14="http://schemas.microsoft.com/office/spreadsheetml/2009/9/main" uri="{725AE2AE-9491-48be-B2B4-4EB974FC3084}">
      <x14:pivotCacheDefinition pivotCacheId="898364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bob.clark@company.com"/>
    <s v="Prof."/>
    <s v="Bob"/>
    <s v="Clark"/>
    <x v="0"/>
    <m/>
    <s v="929-6998874"/>
    <s v="323-6998874"/>
    <x v="0"/>
    <s v="2021-06-19"/>
    <s v="06-19-2021"/>
    <n v="41134"/>
    <s v="13%"/>
    <x v="0"/>
    <x v="0"/>
    <s v="Not Top 10%"/>
    <n v="2161"/>
    <n v="72003"/>
    <n v="7.52"/>
    <n v="45"/>
    <n v="2058.0952380952381"/>
    <s v="Consultant"/>
    <s v="S"/>
    <s v="S1BobClark"/>
    <s v="Eligible"/>
    <x v="0"/>
    <n v="1841.241047305286"/>
  </r>
  <r>
    <n v="2"/>
    <s v="david.miller@company.com"/>
    <s v="Prof."/>
    <s v="David"/>
    <s v="Miller"/>
    <x v="1"/>
    <m/>
    <s v="929-9665568"/>
    <s v="323-9665568"/>
    <x v="1"/>
    <s v="2020-07-29"/>
    <s v="07-29-2020"/>
    <n v="117371"/>
    <s v="9%"/>
    <x v="1"/>
    <x v="1"/>
    <s v="Not Top 10%"/>
    <n v="2189"/>
    <n v="52557"/>
    <n v="8.93"/>
    <n v="17"/>
    <n v="2084.7619047619046"/>
    <s v="Coordinator"/>
    <s v="W"/>
    <s v="W2DavidMiller"/>
    <s v="Not Eligible"/>
    <x v="1"/>
    <n v="3302.7400299864194"/>
  </r>
  <r>
    <n v="3"/>
    <s v="bob.lee@company.com"/>
    <s v="Dr."/>
    <s v="Bob"/>
    <s v="Lee"/>
    <x v="0"/>
    <m/>
    <s v="929-5699987"/>
    <s v="323-5699987"/>
    <x v="2"/>
    <s v="2020-08-28"/>
    <s v="08-28-2020"/>
    <n v="64075"/>
    <s v="12%"/>
    <x v="1"/>
    <x v="2"/>
    <s v="Not Top 10%"/>
    <n v="2391"/>
    <n v="47157"/>
    <n v="5.61"/>
    <n v="41"/>
    <n v="2277.1428571428569"/>
    <s v="Manager"/>
    <s v="W"/>
    <s v="W3BobLee"/>
    <s v="Not Eligible"/>
    <x v="1"/>
    <n v="1266.5976812456415"/>
  </r>
  <r>
    <n v="4"/>
    <s v="henry.green@company.com"/>
    <s v="Mrs."/>
    <s v="Henry"/>
    <s v="Green"/>
    <x v="2"/>
    <m/>
    <s v="929-6554412"/>
    <s v="323-6554412"/>
    <x v="3"/>
    <s v="2020-12-24"/>
    <s v="12-24-2020"/>
    <n v="59660"/>
    <s v="19%"/>
    <x v="2"/>
    <x v="0"/>
    <s v="Not Top 10%"/>
    <n v="2502"/>
    <n v="12911"/>
    <n v="3.57"/>
    <n v="42"/>
    <n v="2382.8571428571427"/>
    <s v="Consultant"/>
    <s v="N"/>
    <s v="N4HenryGreen"/>
    <s v="Eligible"/>
    <x v="1"/>
    <n v="327.46616175420223"/>
  </r>
  <r>
    <n v="5"/>
    <s v="frank.brown@company.com"/>
    <s v="Ms."/>
    <s v="Frank"/>
    <s v="Brown"/>
    <x v="3"/>
    <m/>
    <s v="929-8552214"/>
    <s v="323-8552214"/>
    <x v="4"/>
    <s v="2016-03-18"/>
    <s v="03-18-2016"/>
    <n v="102025"/>
    <s v="11%"/>
    <x v="3"/>
    <x v="3"/>
    <s v="Not Top 10%"/>
    <n v="2769"/>
    <n v="77214"/>
    <n v="6.62"/>
    <n v="45"/>
    <n v="2637.1428571428569"/>
    <s v="Junior Analyst"/>
    <s v="E"/>
    <s v="E5FrankBrown"/>
    <s v="Not Eligible"/>
    <x v="2"/>
    <n v="1942.356155862964"/>
  </r>
  <r>
    <n v="6"/>
    <s v="grace.brown@company.com"/>
    <s v="Dr."/>
    <s v="Grace"/>
    <s v="Brown"/>
    <x v="4"/>
    <m/>
    <s v="929-6554412"/>
    <s v="323-6554412"/>
    <x v="3"/>
    <s v="2015-09-23"/>
    <s v="09-23-2015"/>
    <n v="118188"/>
    <s v="19%"/>
    <x v="2"/>
    <x v="4"/>
    <s v="Not Top 10%"/>
    <n v="2860"/>
    <n v="10206"/>
    <n v="9.58"/>
    <n v="47"/>
    <n v="2723.8095238095239"/>
    <s v="Consultant"/>
    <s v="N"/>
    <s v="N6GraceBrown"/>
    <s v="Not Eligible"/>
    <x v="2"/>
    <n v="261.28517605893887"/>
  </r>
  <r>
    <n v="7"/>
    <s v="carol.green@company.com"/>
    <s v="Mrs."/>
    <s v="Carol"/>
    <s v="Green"/>
    <x v="5"/>
    <m/>
    <s v="929-9665568"/>
    <s v="323-9665568"/>
    <x v="1"/>
    <s v="2021-02-21"/>
    <s v="02-21-2021"/>
    <n v="52768"/>
    <s v="10%"/>
    <x v="3"/>
    <x v="5"/>
    <s v="Not Top 10%"/>
    <n v="2995"/>
    <n v="62733"/>
    <n v="9.0500000000000007"/>
    <n v="59"/>
    <n v="2852.3809523809523"/>
    <s v="Consultant"/>
    <s v="E"/>
    <s v="E7CarolGreen"/>
    <s v="Eligible"/>
    <x v="1"/>
    <n v="1321.2513826879299"/>
  </r>
  <r>
    <n v="8"/>
    <s v="alice.smith@company.com"/>
    <s v="Mr."/>
    <s v="Alice"/>
    <s v="Smith"/>
    <x v="6"/>
    <m/>
    <s v="929-6998874"/>
    <s v="323-6998874"/>
    <x v="0"/>
    <s v="2021-02-22"/>
    <s v="02-22-2021"/>
    <n v="77780"/>
    <s v="9%"/>
    <x v="0"/>
    <x v="4"/>
    <s v="Not Top 10%"/>
    <n v="3016"/>
    <n v="33664"/>
    <n v="7"/>
    <n v="56"/>
    <n v="2872.3809523809523"/>
    <s v="Junior Analyst"/>
    <s v="S"/>
    <s v="S8AliceSmith"/>
    <s v="Not Eligible"/>
    <x v="1"/>
    <n v="706.40194358892961"/>
  </r>
  <r>
    <n v="9"/>
    <s v="bob.johnson@company.com"/>
    <s v="Prof."/>
    <s v="Bob"/>
    <s v="Johnson"/>
    <x v="0"/>
    <m/>
    <s v="929-6554412"/>
    <s v="323-6554412"/>
    <x v="3"/>
    <s v="2017-10-29"/>
    <s v="10-29-2017"/>
    <n v="53309"/>
    <s v="12%"/>
    <x v="0"/>
    <x v="5"/>
    <s v="Not Top 10%"/>
    <n v="3021"/>
    <n v="76199"/>
    <n v="6.56"/>
    <n v="37"/>
    <n v="2877.1428571428569"/>
    <s v="Senior Analyst"/>
    <s v="S"/>
    <s v="S9BobJohnson"/>
    <s v="Eligible"/>
    <x v="3"/>
    <n v="2280.3310919971336"/>
  </r>
  <r>
    <n v="10"/>
    <s v="alice.davis@company.com"/>
    <s v="Ms."/>
    <s v="Alice"/>
    <s v="Davis"/>
    <x v="6"/>
    <m/>
    <s v="929-6554412"/>
    <s v="323-6554412"/>
    <x v="3"/>
    <s v="2017-10-30"/>
    <s v="10-30-2017"/>
    <n v="118371"/>
    <s v="19%"/>
    <x v="2"/>
    <x v="6"/>
    <s v="Not Top 10%"/>
    <n v="3267"/>
    <n v="79163"/>
    <n v="9.2100000000000009"/>
    <n v="48"/>
    <n v="3111.4285714285711"/>
    <s v="Manager"/>
    <s v="N"/>
    <s v="N10AliceDavis"/>
    <s v="Eligible"/>
    <x v="3"/>
    <n v="1977.8778231270264"/>
  </r>
  <r>
    <n v="11"/>
    <s v="eva.smith@company.com"/>
    <s v="Prof."/>
    <s v="Eva"/>
    <s v="Smith"/>
    <x v="7"/>
    <m/>
    <s v="696-5558898"/>
    <s v="323-5558898"/>
    <x v="5"/>
    <s v="2018-12-17"/>
    <s v="12-17-2018"/>
    <n v="68019"/>
    <s v="14%"/>
    <x v="2"/>
    <x v="7"/>
    <s v="Top 10%"/>
    <n v="3585"/>
    <n v="13748"/>
    <n v="5.16"/>
    <n v="30"/>
    <n v="3414.2857142857142"/>
    <s v="Senior Analyst"/>
    <s v="N"/>
    <s v="N11EvaSmith"/>
    <s v="Eligible"/>
    <x v="4"/>
    <n v="489.44339922183946"/>
  </r>
  <r>
    <n v="12"/>
    <s v="alice.smith@company.com"/>
    <s v="Mrs."/>
    <s v="Alice"/>
    <s v="Smith"/>
    <x v="6"/>
    <m/>
    <s v="929-5665569"/>
    <s v="323-5665569"/>
    <x v="6"/>
    <s v="2018-10-19"/>
    <s v="10-19-2018"/>
    <n v="105865"/>
    <s v="11%"/>
    <x v="1"/>
    <x v="8"/>
    <s v="Not Top 10%"/>
    <n v="3685"/>
    <n v="66044"/>
    <n v="9.8800000000000008"/>
    <n v="39"/>
    <n v="3509.5238095238092"/>
    <s v="Manager"/>
    <s v="W"/>
    <s v="W12AliceSmith"/>
    <s v="Eligible"/>
    <x v="4"/>
    <n v="1986.7447779266181"/>
  </r>
  <r>
    <n v="13"/>
    <s v="eva.miller@company.com"/>
    <s v="Mrs."/>
    <s v="Eva"/>
    <s v="Miller"/>
    <x v="7"/>
    <m/>
    <s v="929-6998874"/>
    <s v="323-6998874"/>
    <x v="0"/>
    <s v="2017-05-05"/>
    <s v="05-05-2017"/>
    <n v="93097"/>
    <s v="12%"/>
    <x v="3"/>
    <x v="7"/>
    <s v="Top 10%"/>
    <n v="3899"/>
    <n v="12693"/>
    <n v="5.83"/>
    <n v="54"/>
    <n v="3713.333333333333"/>
    <s v="Coordinator"/>
    <s v="E"/>
    <s v="E13EvaMiller"/>
    <s v="Eligible"/>
    <x v="5"/>
    <n v="267.80288966523739"/>
  </r>
  <r>
    <n v="14"/>
    <s v="isla.lee@company.com"/>
    <s v="Dr."/>
    <s v="Isla"/>
    <s v="Lee"/>
    <x v="8"/>
    <m/>
    <s v="929-5699987"/>
    <s v="323-5699987"/>
    <x v="2"/>
    <s v="2022-07-07"/>
    <s v="07-07-2022"/>
    <n v="101604"/>
    <s v="17%"/>
    <x v="2"/>
    <x v="2"/>
    <s v="Not Top 10%"/>
    <n v="4027"/>
    <n v="73734"/>
    <n v="3.53"/>
    <n v="40"/>
    <n v="3835.238095238095"/>
    <s v="Consultant"/>
    <s v="N"/>
    <s v="N14IslaLee"/>
    <s v="Not Eligible"/>
    <x v="6"/>
    <n v="1956.6335810804762"/>
  </r>
  <r>
    <n v="15"/>
    <s v="henry.miller@company.com"/>
    <s v="Dr."/>
    <s v="Henry"/>
    <s v="Miller"/>
    <x v="2"/>
    <m/>
    <s v="929-5699987"/>
    <s v="323-5699987"/>
    <x v="2"/>
    <s v="2015-05-28"/>
    <s v="05-28-2015"/>
    <n v="106449"/>
    <s v="20%"/>
    <x v="3"/>
    <x v="9"/>
    <s v="Not Top 10%"/>
    <n v="4433"/>
    <n v="43827"/>
    <n v="4.83"/>
    <n v="13"/>
    <n v="4221.9047619047615"/>
    <s v="Assistant"/>
    <s v="E"/>
    <s v="E15HenryMiller"/>
    <s v="Eligible"/>
    <x v="2"/>
    <n v="3467.0573590113822"/>
  </r>
  <r>
    <n v="16"/>
    <s v="jack.green@company.com"/>
    <s v="Mr."/>
    <s v="Jack"/>
    <s v="Green"/>
    <x v="9"/>
    <m/>
    <s v="929-5665569"/>
    <s v="323-5665569"/>
    <x v="6"/>
    <s v="2015-07-26"/>
    <s v="07-26-2015"/>
    <n v="108441"/>
    <s v="17%"/>
    <x v="1"/>
    <x v="10"/>
    <s v="Not Top 10%"/>
    <n v="4454"/>
    <n v="52107"/>
    <n v="5.07"/>
    <n v="50"/>
    <n v="4241.9047619047615"/>
    <s v="Consultant"/>
    <s v="W"/>
    <s v="W16JackGreen"/>
    <s v="Eligible"/>
    <x v="2"/>
    <n v="1158.2805795269355"/>
  </r>
  <r>
    <n v="17"/>
    <s v="isla.miller@company.com"/>
    <s v="Dr."/>
    <s v="Isla"/>
    <s v="Miller"/>
    <x v="8"/>
    <m/>
    <s v="929-5699987"/>
    <s v="323-5699987"/>
    <x v="2"/>
    <s v="2018-08-21"/>
    <s v="08-21-2018"/>
    <n v="51402"/>
    <s v="12%"/>
    <x v="0"/>
    <x v="7"/>
    <s v="Top 10%"/>
    <n v="4568"/>
    <n v="97455"/>
    <n v="9.86"/>
    <n v="33"/>
    <n v="4350.4761904761899"/>
    <s v="Senior Analyst"/>
    <s v="S"/>
    <s v="S17IslaMiller"/>
    <s v="Eligible"/>
    <x v="4"/>
    <n v="3383.673490249696"/>
  </r>
  <r>
    <n v="18"/>
    <s v="eva.davis@company.com"/>
    <s v="Prof."/>
    <s v="Eva"/>
    <s v="Davis"/>
    <x v="7"/>
    <m/>
    <s v="696-5558898"/>
    <s v="323-5558898"/>
    <x v="5"/>
    <s v="2020-04-02"/>
    <s v="04-02-2020"/>
    <n v="63201"/>
    <s v="5%"/>
    <x v="1"/>
    <x v="11"/>
    <s v="Not Top 10%"/>
    <n v="4612"/>
    <n v="71373"/>
    <n v="4.2300000000000004"/>
    <n v="51"/>
    <n v="4392.3809523809523"/>
    <s v="Specialist"/>
    <s v="W"/>
    <s v="W18EvaDavis"/>
    <s v="Not Eligible"/>
    <x v="7"/>
    <n v="1531.4911056247058"/>
  </r>
  <r>
    <n v="19"/>
    <s v="carol.smith@company.com"/>
    <s v="Ms."/>
    <s v="Carol"/>
    <s v="Smith"/>
    <x v="5"/>
    <m/>
    <s v="929-8552214"/>
    <s v="323-8552214"/>
    <x v="4"/>
    <s v="2022-08-06"/>
    <s v="08-06-2022"/>
    <n v="102933"/>
    <s v="9%"/>
    <x v="3"/>
    <x v="5"/>
    <s v="Not Top 10%"/>
    <n v="4695"/>
    <n v="80467"/>
    <n v="5.14"/>
    <n v="25"/>
    <n v="4471.4285714285716"/>
    <s v="Team Lead"/>
    <s v="E"/>
    <s v="E19CarolSmith"/>
    <s v="Eligible"/>
    <x v="6"/>
    <n v="3400.9704426806152"/>
  </r>
  <r>
    <n v="20"/>
    <s v="isla.lee@company.com"/>
    <s v="Mr."/>
    <s v="Isla"/>
    <s v="Lee"/>
    <x v="8"/>
    <m/>
    <s v="929-5857874"/>
    <s v="323-5857874"/>
    <x v="7"/>
    <s v="2018-01-26"/>
    <s v="01-26-2018"/>
    <n v="46532"/>
    <s v="10%"/>
    <x v="2"/>
    <x v="7"/>
    <s v="Top 10%"/>
    <n v="4747"/>
    <n v="74044"/>
    <n v="7.9"/>
    <n v="53"/>
    <n v="4520.9523809523807"/>
    <s v="Director"/>
    <s v="N"/>
    <s v="N20IslaLee"/>
    <s v="Eligible"/>
    <x v="3"/>
    <n v="1659.4770101709769"/>
  </r>
  <r>
    <n v="21"/>
    <s v="grace.green@company.com"/>
    <s v="Ms."/>
    <s v="Grace"/>
    <s v="Green"/>
    <x v="4"/>
    <m/>
    <s v="929-6998874"/>
    <s v="323-6998874"/>
    <x v="0"/>
    <s v="2019-09-08"/>
    <s v="09-08-2019"/>
    <n v="105654"/>
    <s v="20%"/>
    <x v="0"/>
    <x v="12"/>
    <s v="Top 10%"/>
    <n v="5005"/>
    <n v="59080"/>
    <n v="8.99"/>
    <n v="26"/>
    <n v="4766.6666666666661"/>
    <s v="Director"/>
    <s v="S"/>
    <s v="S21GraceGreen"/>
    <s v="Eligible"/>
    <x v="7"/>
    <n v="2509.2657402296995"/>
  </r>
  <r>
    <n v="22"/>
    <s v="eva.smith@company.com"/>
    <s v="Dr."/>
    <s v="Eva"/>
    <s v="Smith"/>
    <x v="7"/>
    <m/>
    <s v="929-6554412"/>
    <s v="323-6554412"/>
    <x v="3"/>
    <s v="2021-03-22"/>
    <s v="03-22-2021"/>
    <n v="78006"/>
    <s v="9%"/>
    <x v="1"/>
    <x v="5"/>
    <s v="Not Top 10%"/>
    <n v="5152"/>
    <n v="15530"/>
    <n v="8.0500000000000007"/>
    <n v="28"/>
    <n v="4906.6666666666661"/>
    <s v="Team Lead"/>
    <s v="W"/>
    <s v="W22EvaSmith"/>
    <s v="Eligible"/>
    <x v="1"/>
    <n v="610.21567605209691"/>
  </r>
  <r>
    <n v="23"/>
    <s v="bob.smith@company.com"/>
    <s v="Mr."/>
    <s v="Bob"/>
    <s v="Smith"/>
    <x v="0"/>
    <m/>
    <s v="929-5699987"/>
    <s v="323-5699987"/>
    <x v="2"/>
    <s v="2018-02-25"/>
    <s v="02-25-2018"/>
    <n v="70978"/>
    <s v="10%"/>
    <x v="1"/>
    <x v="9"/>
    <s v="Not Top 10%"/>
    <n v="5556"/>
    <n v="52941"/>
    <n v="8.5"/>
    <n v="55"/>
    <n v="5291.4285714285716"/>
    <s v="Consultant"/>
    <s v="W"/>
    <s v="W23BobSmith"/>
    <s v="Eligible"/>
    <x v="3"/>
    <n v="1165.5692409745736"/>
  </r>
  <r>
    <n v="24"/>
    <s v="henry.adams@company.com"/>
    <s v="Ms."/>
    <s v="Henry"/>
    <s v="Adams"/>
    <x v="2"/>
    <m/>
    <s v="929-9665568"/>
    <s v="323-9665568"/>
    <x v="1"/>
    <s v="2022-10-04"/>
    <s v="10-04-2022"/>
    <n v="92365"/>
    <s v="9%"/>
    <x v="1"/>
    <x v="4"/>
    <s v="Not Top 10%"/>
    <n v="5561"/>
    <n v="99045"/>
    <n v="3.49"/>
    <n v="27"/>
    <n v="5296.1904761904761"/>
    <s v="Specialist"/>
    <s v="W"/>
    <s v="W24HenryAdams"/>
    <s v="Not Eligible"/>
    <x v="6"/>
    <n v="3819.5750939894447"/>
  </r>
  <r>
    <n v="25"/>
    <s v="eva.miller@company.com"/>
    <s v="Ms."/>
    <s v="Eva"/>
    <s v="Miller"/>
    <x v="7"/>
    <m/>
    <s v="929-8552214"/>
    <s v="323-8552214"/>
    <x v="4"/>
    <s v="2021-11-13"/>
    <s v="11-13-2021"/>
    <n v="86043"/>
    <s v="5%"/>
    <x v="1"/>
    <x v="4"/>
    <s v="Not Top 10%"/>
    <n v="5890"/>
    <n v="31834"/>
    <n v="7.68"/>
    <n v="55"/>
    <n v="5609.5238095238092"/>
    <s v="Manager"/>
    <s v="W"/>
    <s v="W25EvaMiller"/>
    <s v="Not Eligible"/>
    <x v="0"/>
    <n v="688.46406248756921"/>
  </r>
  <r>
    <n v="26"/>
    <s v="frank.taylor@company.com"/>
    <s v="Dr."/>
    <s v="Frank"/>
    <s v="Taylor"/>
    <x v="3"/>
    <m/>
    <s v="929-5857874"/>
    <s v="323-5857874"/>
    <x v="7"/>
    <s v="2015-01-01"/>
    <s v="01-01-2015"/>
    <n v="46121"/>
    <s v="6%"/>
    <x v="2"/>
    <x v="13"/>
    <s v="Not Top 10%"/>
    <n v="5943"/>
    <n v="23545"/>
    <n v="6.8"/>
    <n v="39"/>
    <n v="5660"/>
    <s v="Manager"/>
    <s v="N"/>
    <s v="N26FrankTaylor"/>
    <s v="Eligible"/>
    <x v="8"/>
    <n v="674.58597082283825"/>
  </r>
  <r>
    <n v="27"/>
    <s v="henry.clark@company.com"/>
    <s v="Mrs."/>
    <s v="Henry"/>
    <s v="Clark"/>
    <x v="2"/>
    <m/>
    <s v="696-5558898"/>
    <s v="323-5558898"/>
    <x v="5"/>
    <s v="2016-08-13"/>
    <s v="08-13-2016"/>
    <n v="65879"/>
    <s v="8%"/>
    <x v="1"/>
    <x v="9"/>
    <s v="Not Top 10%"/>
    <n v="6297"/>
    <n v="93211"/>
    <n v="7.68"/>
    <n v="43"/>
    <n v="5997.1428571428569"/>
    <s v="Team Lead"/>
    <s v="W"/>
    <s v="W27HenryClark"/>
    <s v="Eligible"/>
    <x v="5"/>
    <n v="2486.5223541366713"/>
  </r>
  <r>
    <n v="28"/>
    <s v="bob.johnson@company.com"/>
    <s v="Ms."/>
    <s v="Bob"/>
    <s v="Johnson"/>
    <x v="0"/>
    <m/>
    <s v="929-5857874"/>
    <s v="323-5857874"/>
    <x v="7"/>
    <s v="2017-03-07"/>
    <s v="03-07-2017"/>
    <n v="86464"/>
    <s v="10%"/>
    <x v="3"/>
    <x v="3"/>
    <s v="Not Top 10%"/>
    <n v="6426"/>
    <n v="64268"/>
    <n v="4.46"/>
    <n v="27"/>
    <n v="6120"/>
    <s v="Senior Analyst"/>
    <s v="E"/>
    <s v="E28BobJohnson"/>
    <s v="Not Eligible"/>
    <x v="5"/>
    <n v="2506.1417654219977"/>
  </r>
  <r>
    <n v="29"/>
    <s v="carol.clark@company.com"/>
    <s v="Mr."/>
    <s v="Carol"/>
    <s v="Clark"/>
    <x v="5"/>
    <m/>
    <s v="929-5665569"/>
    <s v="323-5665569"/>
    <x v="6"/>
    <s v="2021-06-19"/>
    <s v="06-19-2021"/>
    <n v="91152"/>
    <s v="10%"/>
    <x v="0"/>
    <x v="7"/>
    <s v="Top 10%"/>
    <n v="7051"/>
    <n v="72623"/>
    <n v="9.76"/>
    <n v="34"/>
    <n v="6715.2380952380945"/>
    <s v="Junior Analyst"/>
    <s v="S"/>
    <s v="S29CarolClark"/>
    <s v="Eligible"/>
    <x v="0"/>
    <n v="2453.5181061892022"/>
  </r>
  <r>
    <n v="30"/>
    <s v="david.smith@company.com"/>
    <s v="Ms."/>
    <s v="David"/>
    <s v="Smith"/>
    <x v="1"/>
    <m/>
    <s v="929-5857874"/>
    <s v="323-5857874"/>
    <x v="7"/>
    <s v="2020-11-24"/>
    <s v="11-24-2020"/>
    <n v="74256"/>
    <s v="9%"/>
    <x v="3"/>
    <x v="14"/>
    <s v="Not Top 10%"/>
    <n v="7056"/>
    <n v="12811"/>
    <n v="6.87"/>
    <n v="34"/>
    <n v="6720"/>
    <s v="Specialist"/>
    <s v="E"/>
    <s v="E30DavidSmith"/>
    <s v="Not Eligible"/>
    <x v="1"/>
    <n v="415.72869956806966"/>
  </r>
  <r>
    <n v="31"/>
    <s v="alice.smith@company.com"/>
    <s v="Mrs."/>
    <s v="Alice"/>
    <s v="Smith"/>
    <x v="6"/>
    <m/>
    <s v="696-5558898"/>
    <s v="323-5558898"/>
    <x v="5"/>
    <s v="2019-08-10"/>
    <s v="08-10-2019"/>
    <n v="106368"/>
    <s v="13%"/>
    <x v="2"/>
    <x v="3"/>
    <s v="Not Top 10%"/>
    <n v="7258"/>
    <n v="22688"/>
    <n v="4.88"/>
    <n v="16"/>
    <n v="6912.3809523809523"/>
    <s v="Director"/>
    <s v="N"/>
    <s v="N31AliceSmith"/>
    <s v="Not Eligible"/>
    <x v="7"/>
    <n v="1467.5128123190404"/>
  </r>
  <r>
    <n v="32"/>
    <s v="david.adams@company.com"/>
    <s v="Ms."/>
    <s v="David"/>
    <s v="Adams"/>
    <x v="1"/>
    <m/>
    <s v="929-8552214"/>
    <s v="323-8552214"/>
    <x v="4"/>
    <s v="2020-05-02"/>
    <s v="05-02-2020"/>
    <n v="109031"/>
    <s v="7%"/>
    <x v="3"/>
    <x v="10"/>
    <s v="Not Top 10%"/>
    <n v="7276"/>
    <n v="56717"/>
    <n v="9.67"/>
    <n v="23"/>
    <n v="6929.5238095238092"/>
    <s v="Executive"/>
    <s v="E"/>
    <s v="E32DavidAdams"/>
    <s v="Eligible"/>
    <x v="7"/>
    <n v="2711.4280619100582"/>
  </r>
  <r>
    <n v="33"/>
    <s v="carol.smith@company.com"/>
    <s v="Ms."/>
    <s v="Carol"/>
    <s v="Smith"/>
    <x v="5"/>
    <m/>
    <s v="929-6998874"/>
    <s v="323-6998874"/>
    <x v="0"/>
    <s v="2016-10-11"/>
    <s v="10-11-2016"/>
    <n v="55545"/>
    <s v="8%"/>
    <x v="3"/>
    <x v="15"/>
    <s v="Not Top 10%"/>
    <n v="7311"/>
    <n v="65820"/>
    <n v="9.9700000000000006"/>
    <n v="43"/>
    <n v="6962.8571428571422"/>
    <s v="Coordinator"/>
    <s v="E"/>
    <s v="E33CarolSmith"/>
    <s v="Not Eligible"/>
    <x v="5"/>
    <n v="1826.6542599622157"/>
  </r>
  <r>
    <n v="34"/>
    <s v="bob.green@company.com"/>
    <s v="Mr."/>
    <s v="Bob"/>
    <s v="Green"/>
    <x v="0"/>
    <m/>
    <s v="929-5857874"/>
    <s v="323-5857874"/>
    <x v="7"/>
    <s v="2020-09-26"/>
    <s v="09-26-2020"/>
    <n v="118247"/>
    <s v="19%"/>
    <x v="2"/>
    <x v="2"/>
    <s v="Not Top 10%"/>
    <n v="7390"/>
    <n v="97054"/>
    <n v="5.78"/>
    <n v="56"/>
    <n v="7038.0952380952376"/>
    <s v="Junior Analyst"/>
    <s v="N"/>
    <s v="N34BobGreen"/>
    <s v="Not Eligible"/>
    <x v="1"/>
    <n v="1981.4860681884772"/>
  </r>
  <r>
    <n v="35"/>
    <s v="jack.brown@company.com"/>
    <s v="Dr."/>
    <s v="Jack"/>
    <s v="Brown"/>
    <x v="9"/>
    <m/>
    <s v="929-5857874"/>
    <s v="323-5857874"/>
    <x v="7"/>
    <s v="2017-11-28"/>
    <s v="11-28-2017"/>
    <n v="63529"/>
    <s v="5%"/>
    <x v="1"/>
    <x v="8"/>
    <s v="Not Top 10%"/>
    <n v="7675"/>
    <n v="49353"/>
    <n v="5.45"/>
    <n v="58"/>
    <n v="7309.5238095238092"/>
    <s v="Manager"/>
    <s v="W"/>
    <s v="W35JackBrown"/>
    <s v="Eligible"/>
    <x v="3"/>
    <n v="969.82056421933419"/>
  </r>
  <r>
    <n v="36"/>
    <s v="alice.johnson@company.com"/>
    <s v="Dr."/>
    <s v="Alice"/>
    <s v="Johnson"/>
    <x v="6"/>
    <m/>
    <s v="929-6998874"/>
    <s v="323-6998874"/>
    <x v="0"/>
    <s v="2015-03-30"/>
    <s v="03-30-2015"/>
    <n v="88217"/>
    <s v="5%"/>
    <x v="0"/>
    <x v="16"/>
    <s v="Not Top 10%"/>
    <n v="7892"/>
    <n v="75733"/>
    <n v="9.51"/>
    <n v="23"/>
    <n v="7516.1904761904761"/>
    <s v="Executive"/>
    <s v="S"/>
    <s v="S36AliceJohnson"/>
    <s v="Eligible"/>
    <x v="8"/>
    <n v="3614.937082033503"/>
  </r>
  <r>
    <n v="37"/>
    <s v="david.adams@company.com"/>
    <s v="Mrs."/>
    <s v="David"/>
    <s v="Adams"/>
    <x v="1"/>
    <m/>
    <s v="929-6554412"/>
    <s v="323-6554412"/>
    <x v="3"/>
    <s v="2018-03-26"/>
    <s v="03-26-2018"/>
    <n v="104157"/>
    <s v="13%"/>
    <x v="3"/>
    <x v="10"/>
    <s v="Not Top 10%"/>
    <n v="8184"/>
    <n v="44698"/>
    <n v="4.46"/>
    <n v="37"/>
    <n v="7794.2857142857138"/>
    <s v="Specialist"/>
    <s v="E"/>
    <s v="E37DavidAdams"/>
    <s v="Eligible"/>
    <x v="3"/>
    <n v="1295.2610666745895"/>
  </r>
  <r>
    <n v="38"/>
    <s v="isla.taylor@company.com"/>
    <s v="Dr."/>
    <s v="Isla"/>
    <s v="Taylor"/>
    <x v="8"/>
    <m/>
    <s v="929-5857874"/>
    <s v="323-5857874"/>
    <x v="7"/>
    <s v="2019-12-06"/>
    <s v="12-06-2019"/>
    <n v="77365"/>
    <s v="19%"/>
    <x v="3"/>
    <x v="11"/>
    <s v="Not Top 10%"/>
    <n v="8265"/>
    <n v="60636"/>
    <n v="7.73"/>
    <n v="19"/>
    <n v="7871.4285714285706"/>
    <s v="Consultant"/>
    <s v="E"/>
    <s v="E38IslaTaylor"/>
    <s v="Not Eligible"/>
    <x v="7"/>
    <n v="3400.9047927758343"/>
  </r>
  <r>
    <n v="39"/>
    <s v="bob.taylor@company.com"/>
    <s v="Mr."/>
    <s v="Bob"/>
    <s v="Taylor"/>
    <x v="0"/>
    <m/>
    <s v="929-6998874"/>
    <s v="323-6998874"/>
    <x v="0"/>
    <s v="2017-01-07"/>
    <s v="01-07-2017"/>
    <n v="46331"/>
    <s v="15%"/>
    <x v="1"/>
    <x v="16"/>
    <s v="Not Top 10%"/>
    <n v="8331"/>
    <n v="48623"/>
    <n v="4.96"/>
    <n v="33"/>
    <n v="7934.2857142857138"/>
    <s v="Consultant"/>
    <s v="W"/>
    <s v="W39BobTaylor"/>
    <s v="Eligible"/>
    <x v="5"/>
    <n v="1579.2337638854628"/>
  </r>
  <r>
    <n v="40"/>
    <s v="david.smith@company.com"/>
    <s v="Dr."/>
    <s v="David"/>
    <s v="Smith"/>
    <x v="1"/>
    <m/>
    <s v="929-5857874"/>
    <s v="323-5857874"/>
    <x v="7"/>
    <s v="2022-04-10"/>
    <s v="04-10-2022"/>
    <n v="102678"/>
    <s v="9%"/>
    <x v="1"/>
    <x v="17"/>
    <s v="Not Top 10%"/>
    <n v="8396"/>
    <n v="32299"/>
    <n v="4.32"/>
    <n v="33"/>
    <n v="7996.1904761904761"/>
    <s v="Director"/>
    <s v="W"/>
    <s v="W40DavidSmith"/>
    <s v="Not Eligible"/>
    <x v="0"/>
    <n v="1039.8052842795198"/>
  </r>
  <r>
    <n v="41"/>
    <s v="henry.lee@company.com"/>
    <s v="Ms."/>
    <s v="Henry"/>
    <s v="Lee"/>
    <x v="2"/>
    <m/>
    <s v="696-5558898"/>
    <s v="323-5558898"/>
    <x v="5"/>
    <s v="2016-05-16"/>
    <s v="05-16-2016"/>
    <n v="92354"/>
    <s v="18%"/>
    <x v="0"/>
    <x v="4"/>
    <s v="Not Top 10%"/>
    <n v="8420"/>
    <n v="91734"/>
    <n v="6.91"/>
    <n v="33"/>
    <n v="8019.0476190476184"/>
    <s v="Senior Analyst"/>
    <s v="S"/>
    <s v="S41HenryLee"/>
    <s v="Not Eligible"/>
    <x v="2"/>
    <n v="3060.2673996800645"/>
  </r>
  <r>
    <n v="42"/>
    <s v="david.johnson@company.com"/>
    <s v="Prof."/>
    <s v="David"/>
    <s v="Johnson"/>
    <x v="1"/>
    <m/>
    <s v="696-5558898"/>
    <s v="323-5558898"/>
    <x v="5"/>
    <s v="2017-08-02"/>
    <s v="08-02-2017"/>
    <n v="103201"/>
    <s v="14%"/>
    <x v="3"/>
    <x v="9"/>
    <s v="Not Top 10%"/>
    <n v="8736"/>
    <n v="35342"/>
    <n v="6.4"/>
    <n v="58"/>
    <n v="8320"/>
    <s v="Team Lead"/>
    <s v="E"/>
    <s v="E42DavidJohnson"/>
    <s v="Eligible"/>
    <x v="3"/>
    <n v="710.05192947367993"/>
  </r>
  <r>
    <n v="43"/>
    <s v="bob.clark@company.com"/>
    <s v="Dr."/>
    <s v="Bob"/>
    <s v="Clark"/>
    <x v="0"/>
    <m/>
    <s v="929-5665569"/>
    <s v="323-5665569"/>
    <x v="6"/>
    <s v="2018-04-25"/>
    <s v="04-25-2018"/>
    <n v="112236"/>
    <s v="7%"/>
    <x v="0"/>
    <x v="0"/>
    <s v="Not Top 10%"/>
    <n v="8873"/>
    <n v="56576"/>
    <n v="6.04"/>
    <n v="12"/>
    <n v="8450.4761904761908"/>
    <s v="Director"/>
    <s v="S"/>
    <s v="S43BobClark"/>
    <s v="Eligible"/>
    <x v="3"/>
    <n v="4870.3345556999366"/>
  </r>
  <r>
    <n v="44"/>
    <s v="henry.taylor@company.com"/>
    <s v="Prof."/>
    <s v="Henry"/>
    <s v="Taylor"/>
    <x v="2"/>
    <m/>
    <s v="696-5558898"/>
    <s v="323-5558898"/>
    <x v="5"/>
    <s v="2022-09-04"/>
    <s v="09-04-2022"/>
    <n v="67179"/>
    <s v="20%"/>
    <x v="3"/>
    <x v="18"/>
    <s v="Not Top 10%"/>
    <n v="9208"/>
    <n v="65680"/>
    <n v="8.23"/>
    <n v="14"/>
    <n v="8769.5238095238092"/>
    <s v="Team Lead"/>
    <s v="E"/>
    <s v="E44HenryTaylor"/>
    <s v="Not Eligible"/>
    <x v="6"/>
    <n v="4936.3170190821902"/>
  </r>
  <r>
    <n v="45"/>
    <s v="david.brown@company.com"/>
    <s v="Mr."/>
    <s v="David"/>
    <s v="Brown"/>
    <x v="1"/>
    <m/>
    <s v="929-6998874"/>
    <s v="323-6998874"/>
    <x v="0"/>
    <s v="2022-03-11"/>
    <s v="03-11-2022"/>
    <n v="52311"/>
    <s v="13%"/>
    <x v="3"/>
    <x v="3"/>
    <s v="Not Top 10%"/>
    <n v="9629"/>
    <n v="99474"/>
    <n v="6.49"/>
    <n v="51"/>
    <n v="9170.4761904761908"/>
    <s v="Consultant"/>
    <s v="E"/>
    <s v="E45DavidBrown"/>
    <s v="Not Eligible"/>
    <x v="0"/>
    <n v="2237.0515654891092"/>
  </r>
  <r>
    <n v="46"/>
    <s v="isla.davis@company.com"/>
    <s v="Ms."/>
    <s v="Isla"/>
    <s v="Davis"/>
    <x v="8"/>
    <m/>
    <s v="929-6998874"/>
    <s v="323-6998874"/>
    <x v="0"/>
    <s v="2021-05-20"/>
    <s v="05-20-2021"/>
    <n v="107183"/>
    <s v="18%"/>
    <x v="3"/>
    <x v="12"/>
    <s v="Top 10%"/>
    <n v="9989"/>
    <n v="78840"/>
    <n v="9.85"/>
    <n v="20"/>
    <n v="9513.3333333333321"/>
    <s v="Specialist"/>
    <s v="E"/>
    <s v="E46IslaDavis"/>
    <s v="Eligible"/>
    <x v="1"/>
    <n v="4290.542321709946"/>
  </r>
  <r>
    <n v="47"/>
    <s v="jack.miller@company.com"/>
    <s v="Mr."/>
    <s v="Jack"/>
    <s v="Miller"/>
    <x v="9"/>
    <m/>
    <s v="696-5558898"/>
    <s v="323-5558898"/>
    <x v="5"/>
    <s v="2019-04-14"/>
    <s v="04-14-2019"/>
    <n v="111417"/>
    <s v="7%"/>
    <x v="2"/>
    <x v="17"/>
    <s v="Not Top 10%"/>
    <n v="10006"/>
    <n v="36309"/>
    <n v="7.01"/>
    <n v="48"/>
    <n v="9529.5238095238092"/>
    <s v="Assistant"/>
    <s v="N"/>
    <s v="N47JackMiller"/>
    <s v="Not Eligible"/>
    <x v="4"/>
    <n v="869.63266289639228"/>
  </r>
  <r>
    <n v="48"/>
    <s v="eva.davis@company.com"/>
    <s v="Mr."/>
    <s v="Eva"/>
    <s v="Davis"/>
    <x v="7"/>
    <m/>
    <s v="929-8552214"/>
    <s v="323-8552214"/>
    <x v="4"/>
    <s v="2020-06-30"/>
    <s v="06-30-2020"/>
    <n v="114199"/>
    <s v="13%"/>
    <x v="3"/>
    <x v="19"/>
    <s v="Not Top 10%"/>
    <n v="10110"/>
    <n v="82082"/>
    <n v="5.94"/>
    <n v="16"/>
    <n v="9628.5714285714275"/>
    <s v="Team Lead"/>
    <s v="E"/>
    <s v="E48EvaDavis"/>
    <s v="Not Eligible"/>
    <x v="1"/>
    <n v="5348.6392856638849"/>
  </r>
  <r>
    <n v="49"/>
    <s v="eva.smith@company.com"/>
    <s v="Mrs."/>
    <s v="Eva"/>
    <s v="Smith"/>
    <x v="7"/>
    <m/>
    <s v="929-5857874"/>
    <s v="323-5857874"/>
    <x v="7"/>
    <s v="2020-03-03"/>
    <s v="03-03-2020"/>
    <n v="67094"/>
    <s v="8%"/>
    <x v="2"/>
    <x v="4"/>
    <s v="Not Top 10%"/>
    <n v="10226"/>
    <n v="68053"/>
    <n v="5.57"/>
    <n v="41"/>
    <n v="9739.0476190476184"/>
    <s v="Specialist"/>
    <s v="N"/>
    <s v="N49EvaSmith"/>
    <s v="Not Eligible"/>
    <x v="7"/>
    <n v="1826.6131014733612"/>
  </r>
  <r>
    <n v="50"/>
    <s v="isla.taylor@company.com"/>
    <s v="Prof."/>
    <s v="Isla"/>
    <s v="Taylor"/>
    <x v="8"/>
    <m/>
    <s v="929-5857874"/>
    <s v="323-5857874"/>
    <x v="7"/>
    <s v="2015-11-21"/>
    <s v="11-21-2015"/>
    <n v="54658"/>
    <s v="13%"/>
    <x v="0"/>
    <x v="8"/>
    <s v="Not Top 10%"/>
    <n v="10322"/>
    <n v="81910"/>
    <n v="4.22"/>
    <n v="26"/>
    <n v="9830.4761904761908"/>
    <s v="Team Lead"/>
    <s v="S"/>
    <s v="S50IslaTaylor"/>
    <s v="Eligible"/>
    <x v="2"/>
    <n v="3302.1365119425341"/>
  </r>
  <r>
    <n v="51"/>
    <s v="david.brown@company.com"/>
    <s v="Prof."/>
    <s v="David"/>
    <s v="Brown"/>
    <x v="1"/>
    <m/>
    <s v="929-6554412"/>
    <s v="323-6554412"/>
    <x v="3"/>
    <s v="2019-07-11"/>
    <s v="07-11-2019"/>
    <n v="54856"/>
    <s v="17%"/>
    <x v="2"/>
    <x v="14"/>
    <s v="Not Top 10%"/>
    <n v="10392"/>
    <n v="90623"/>
    <n v="7.7"/>
    <n v="37"/>
    <n v="9897.1428571428569"/>
    <s v="Coordinator"/>
    <s v="N"/>
    <s v="N51DavidBrown"/>
    <s v="Not Eligible"/>
    <x v="7"/>
    <n v="2759.3260840524144"/>
  </r>
  <r>
    <n v="52"/>
    <s v="david.davis@company.com"/>
    <s v="Prof."/>
    <s v="David"/>
    <s v="Davis"/>
    <x v="1"/>
    <m/>
    <s v="696-5558898"/>
    <s v="323-5558898"/>
    <x v="5"/>
    <s v="2022-11-02"/>
    <s v="11-02-2022"/>
    <n v="105417"/>
    <s v="13%"/>
    <x v="0"/>
    <x v="20"/>
    <s v="Not Top 10%"/>
    <n v="10433"/>
    <n v="33776"/>
    <n v="6.4"/>
    <n v="41"/>
    <n v="9936.1904761904752"/>
    <s v="Director"/>
    <s v="S"/>
    <s v="S52DavidDavis"/>
    <s v="Eligible"/>
    <x v="6"/>
    <n v="919.34028909315145"/>
  </r>
  <r>
    <n v="53"/>
    <s v="henry.smith@company.com"/>
    <s v="Dr."/>
    <s v="Henry"/>
    <s v="Smith"/>
    <x v="2"/>
    <m/>
    <s v="929-6998874"/>
    <s v="323-6998874"/>
    <x v="0"/>
    <s v="2022-06-08"/>
    <s v="06-08-2022"/>
    <n v="103903"/>
    <s v="15%"/>
    <x v="0"/>
    <x v="11"/>
    <s v="Not Top 10%"/>
    <n v="10529"/>
    <n v="77172"/>
    <n v="8.3800000000000008"/>
    <n v="12"/>
    <n v="10027.619047619048"/>
    <s v="Executive"/>
    <s v="S"/>
    <s v="S53HenrySmith"/>
    <s v="Not Eligible"/>
    <x v="6"/>
    <n v="6726.6376911494126"/>
  </r>
  <r>
    <n v="54"/>
    <s v="alice.brown@company.com"/>
    <s v="Mrs."/>
    <s v="Alice"/>
    <s v="Brown"/>
    <x v="6"/>
    <m/>
    <s v="929-6554412"/>
    <s v="323-6554412"/>
    <x v="3"/>
    <s v="2021-10-15"/>
    <s v="10-15-2021"/>
    <n v="85359"/>
    <s v="13%"/>
    <x v="2"/>
    <x v="15"/>
    <s v="Not Top 10%"/>
    <n v="10571"/>
    <n v="17392"/>
    <n v="9.18"/>
    <n v="40"/>
    <n v="10067.619047619048"/>
    <s v="Team Lead"/>
    <s v="N"/>
    <s v="N54AliceBrown"/>
    <s v="Not Eligible"/>
    <x v="0"/>
    <n v="506.36000762222"/>
  </r>
  <r>
    <n v="55"/>
    <s v="grace.davis@company.com"/>
    <s v="Ms."/>
    <s v="Grace"/>
    <s v="Davis"/>
    <x v="4"/>
    <m/>
    <s v="929-5699987"/>
    <s v="323-5699987"/>
    <x v="2"/>
    <s v="2020-02-03"/>
    <s v="02-03-2020"/>
    <n v="50138"/>
    <s v="6%"/>
    <x v="2"/>
    <x v="3"/>
    <s v="Not Top 10%"/>
    <n v="10666"/>
    <n v="53585"/>
    <n v="4.95"/>
    <n v="33"/>
    <n v="10158.095238095239"/>
    <s v="Consultant"/>
    <s v="N"/>
    <s v="N55GraceDavis"/>
    <s v="Not Eligible"/>
    <x v="7"/>
    <n v="1740.1551806738619"/>
  </r>
  <r>
    <n v="56"/>
    <s v="jack.lee@company.com"/>
    <s v="Dr."/>
    <s v="Jack"/>
    <s v="Lee"/>
    <x v="9"/>
    <m/>
    <s v="696-5558898"/>
    <s v="323-5558898"/>
    <x v="5"/>
    <s v="2016-06-15"/>
    <s v="06-15-2016"/>
    <n v="57900"/>
    <s v="8%"/>
    <x v="1"/>
    <x v="1"/>
    <s v="Not Top 10%"/>
    <n v="10792"/>
    <n v="25707"/>
    <n v="9.82"/>
    <n v="17"/>
    <n v="10278.095238095239"/>
    <s v="Junior Analyst"/>
    <s v="W"/>
    <s v="W56JackLee"/>
    <s v="Not Eligible"/>
    <x v="5"/>
    <n v="1625.9679806373574"/>
  </r>
  <r>
    <n v="57"/>
    <s v="eva.lee@company.com"/>
    <s v="Prof."/>
    <s v="Eva"/>
    <s v="Lee"/>
    <x v="7"/>
    <m/>
    <s v="696-5558898"/>
    <s v="323-5558898"/>
    <x v="5"/>
    <s v="2019-05-13"/>
    <s v="05-13-2019"/>
    <n v="101266"/>
    <s v="18%"/>
    <x v="3"/>
    <x v="15"/>
    <s v="Not Top 10%"/>
    <n v="10838"/>
    <n v="28047"/>
    <n v="7.06"/>
    <n v="16"/>
    <n v="10321.904761904761"/>
    <s v="Specialist"/>
    <s v="E"/>
    <s v="E57EvaLee"/>
    <s v="Not Eligible"/>
    <x v="4"/>
    <n v="1841.8843696361282"/>
  </r>
  <r>
    <n v="58"/>
    <s v="grace.davis@company.com"/>
    <s v="Prof."/>
    <s v="Grace"/>
    <s v="Davis"/>
    <x v="4"/>
    <m/>
    <s v="929-6554412"/>
    <s v="323-6554412"/>
    <x v="3"/>
    <s v="2015-01-30"/>
    <s v="01-30-2015"/>
    <n v="73362"/>
    <s v="10%"/>
    <x v="3"/>
    <x v="9"/>
    <s v="Not Top 10%"/>
    <n v="11268"/>
    <n v="36736"/>
    <n v="9.9600000000000009"/>
    <n v="50"/>
    <n v="10731.428571428571"/>
    <s v="Manager"/>
    <s v="E"/>
    <s v="E58GraceDavis"/>
    <s v="Eligible"/>
    <x v="8"/>
    <n v="900.69075646954366"/>
  </r>
  <r>
    <n v="59"/>
    <s v="eva.taylor@company.com"/>
    <s v="Mr."/>
    <s v="Eva"/>
    <s v="Taylor"/>
    <x v="7"/>
    <m/>
    <s v="929-5665569"/>
    <s v="323-5665569"/>
    <x v="6"/>
    <s v="2017-02-06"/>
    <s v="02-06-2017"/>
    <n v="105702"/>
    <s v="7%"/>
    <x v="0"/>
    <x v="8"/>
    <s v="Not Top 10%"/>
    <n v="11692"/>
    <n v="64384"/>
    <n v="6.41"/>
    <n v="23"/>
    <n v="11135.238095238095"/>
    <s v="Specialist"/>
    <s v="S"/>
    <s v="S59EvaTaylor"/>
    <s v="Eligible"/>
    <x v="5"/>
    <n v="2982.2439667480444"/>
  </r>
  <r>
    <n v="60"/>
    <s v="jack.green@company.com"/>
    <s v="Prof."/>
    <s v="Jack"/>
    <s v="Green"/>
    <x v="9"/>
    <m/>
    <s v="929-6998874"/>
    <s v="323-6998874"/>
    <x v="0"/>
    <s v="2017-04-06"/>
    <s v="04-06-2017"/>
    <n v="110550"/>
    <s v="11%"/>
    <x v="2"/>
    <x v="14"/>
    <s v="Not Top 10%"/>
    <n v="11762"/>
    <n v="59811"/>
    <n v="7.96"/>
    <n v="48"/>
    <n v="11201.904761904761"/>
    <s v="Specialist"/>
    <s v="N"/>
    <s v="N60JackGreen"/>
    <s v="Not Eligible"/>
    <x v="5"/>
    <n v="1459.0385418153455"/>
  </r>
  <r>
    <n v="61"/>
    <s v="jack.miller@company.com"/>
    <s v="Ms."/>
    <s v="Jack"/>
    <s v="Miller"/>
    <x v="9"/>
    <m/>
    <s v="929-8552214"/>
    <s v="323-8552214"/>
    <x v="4"/>
    <s v="2021-08-17"/>
    <s v="08-17-2021"/>
    <n v="42009"/>
    <s v="11%"/>
    <x v="3"/>
    <x v="13"/>
    <s v="Not Top 10%"/>
    <n v="12233"/>
    <n v="40080"/>
    <n v="6.14"/>
    <n v="58"/>
    <n v="11650.476190476191"/>
    <s v="Manager"/>
    <s v="E"/>
    <s v="E61JackMiller"/>
    <s v="Eligible"/>
    <x v="0"/>
    <n v="800.39021588774006"/>
  </r>
  <r>
    <n v="62"/>
    <s v="david.green@company.com"/>
    <s v="Mr."/>
    <s v="David"/>
    <s v="Green"/>
    <x v="1"/>
    <m/>
    <s v="929-6554412"/>
    <s v="323-6554412"/>
    <x v="3"/>
    <s v="2019-02-14"/>
    <s v="02-14-2019"/>
    <n v="47202"/>
    <s v="7%"/>
    <x v="1"/>
    <x v="20"/>
    <s v="Not Top 10%"/>
    <n v="12253"/>
    <n v="54262"/>
    <n v="5.14"/>
    <n v="43"/>
    <n v="11669.523809523809"/>
    <s v="Coordinator"/>
    <s v="W"/>
    <s v="W62DavidGreen"/>
    <s v="Eligible"/>
    <x v="4"/>
    <n v="1384.3764899727139"/>
  </r>
  <r>
    <n v="63"/>
    <s v="carol.taylor@company.com"/>
    <s v="Dr."/>
    <s v="Carol"/>
    <s v="Taylor"/>
    <x v="5"/>
    <m/>
    <s v="929-8552214"/>
    <s v="323-8552214"/>
    <x v="4"/>
    <s v="2015-03-01"/>
    <s v="03-01-2015"/>
    <n v="64148"/>
    <s v="17%"/>
    <x v="2"/>
    <x v="12"/>
    <s v="Top 10%"/>
    <n v="12555"/>
    <n v="31976"/>
    <n v="4.99"/>
    <n v="56"/>
    <n v="11957.142857142857"/>
    <s v="Junior Analyst"/>
    <s v="N"/>
    <s v="N63CarolTaylor"/>
    <s v="Eligible"/>
    <x v="8"/>
    <n v="641.24244771512872"/>
  </r>
  <r>
    <n v="64"/>
    <s v="david.smith@company.com"/>
    <s v="Ms."/>
    <s v="David"/>
    <s v="Smith"/>
    <x v="1"/>
    <m/>
    <s v="929-5857874"/>
    <s v="323-5857874"/>
    <x v="7"/>
    <s v="2022-05-09"/>
    <s v="05-09-2022"/>
    <n v="41183"/>
    <s v="12%"/>
    <x v="3"/>
    <x v="14"/>
    <s v="Not Top 10%"/>
    <n v="12627"/>
    <n v="85766"/>
    <n v="9.58"/>
    <n v="15"/>
    <n v="12025.714285714284"/>
    <s v="Junior Analyst"/>
    <s v="E"/>
    <s v="E64DavidSmith"/>
    <s v="Not Eligible"/>
    <x v="0"/>
    <n v="6089.6796335372273"/>
  </r>
  <r>
    <n v="65"/>
    <s v="grace.miller@company.com"/>
    <s v="Dr."/>
    <s v="Grace"/>
    <s v="Miller"/>
    <x v="4"/>
    <m/>
    <s v="929-6554412"/>
    <s v="323-6554412"/>
    <x v="3"/>
    <s v="2016-04-17"/>
    <s v="04-17-2016"/>
    <n v="54661"/>
    <s v="20%"/>
    <x v="1"/>
    <x v="3"/>
    <s v="Not Top 10%"/>
    <n v="12805"/>
    <n v="83530"/>
    <n v="4.75"/>
    <n v="37"/>
    <n v="12195.238095238095"/>
    <s v="Team Lead"/>
    <s v="W"/>
    <s v="W65GraceMiller"/>
    <s v="Not Eligible"/>
    <x v="2"/>
    <n v="2431.3785308749952"/>
  </r>
  <r>
    <n v="66"/>
    <s v="isla.adams@company.com"/>
    <s v="Dr."/>
    <s v="Isla"/>
    <s v="Adams"/>
    <x v="8"/>
    <m/>
    <s v="929-5699987"/>
    <s v="323-5699987"/>
    <x v="2"/>
    <s v="2016-09-11"/>
    <s v="09-11-2016"/>
    <n v="92495"/>
    <s v="10%"/>
    <x v="3"/>
    <x v="10"/>
    <s v="Not Top 10%"/>
    <n v="12965"/>
    <n v="25708"/>
    <n v="3.96"/>
    <n v="41"/>
    <n v="12347.619047619048"/>
    <s v="Assistant"/>
    <s v="E"/>
    <s v="E66IslaAdams"/>
    <s v="Eligible"/>
    <x v="5"/>
    <n v="671.43127772485832"/>
  </r>
  <r>
    <n v="67"/>
    <s v="carol.johnson@company.com"/>
    <s v="Mr."/>
    <s v="Carol"/>
    <s v="Johnson"/>
    <x v="5"/>
    <m/>
    <s v="929-5665569"/>
    <s v="323-5665569"/>
    <x v="6"/>
    <s v="2020-10-26"/>
    <s v="10-26-2020"/>
    <n v="94129"/>
    <s v="7%"/>
    <x v="2"/>
    <x v="9"/>
    <s v="Not Top 10%"/>
    <n v="13016"/>
    <n v="76842"/>
    <n v="9.9600000000000009"/>
    <n v="46"/>
    <n v="12396.190476190475"/>
    <s v="Manager"/>
    <s v="N"/>
    <s v="N67CarolJohnson"/>
    <s v="Eligible"/>
    <x v="1"/>
    <n v="2016.4555269425928"/>
  </r>
  <r>
    <n v="68"/>
    <s v="jack.johnson@company.com"/>
    <s v="Ms."/>
    <s v="Jack"/>
    <s v="Johnson"/>
    <x v="9"/>
    <m/>
    <s v="929-9665568"/>
    <s v="323-9665568"/>
    <x v="1"/>
    <s v="2021-12-13"/>
    <s v="12-13-2021"/>
    <n v="112398"/>
    <s v="11%"/>
    <x v="2"/>
    <x v="2"/>
    <s v="Not Top 10%"/>
    <n v="13284"/>
    <n v="33419"/>
    <n v="8.86"/>
    <n v="12"/>
    <n v="12651.428571428571"/>
    <s v="Director"/>
    <s v="N"/>
    <s v="N68JackJohnson"/>
    <s v="Not Eligible"/>
    <x v="0"/>
    <n v="2920.3717163529991"/>
  </r>
  <r>
    <n v="69"/>
    <s v="bob.miller@company.com"/>
    <s v="Mrs."/>
    <s v="Bob"/>
    <s v="Miller"/>
    <x v="0"/>
    <m/>
    <s v="696-5558898"/>
    <s v="323-5558898"/>
    <x v="5"/>
    <s v="2021-01-22"/>
    <s v="01-22-2021"/>
    <n v="56097"/>
    <s v="7%"/>
    <x v="3"/>
    <x v="14"/>
    <s v="Not Top 10%"/>
    <n v="13363"/>
    <n v="28141"/>
    <n v="7.87"/>
    <n v="23"/>
    <n v="12726.666666666666"/>
    <s v="Senior Analyst"/>
    <s v="E"/>
    <s v="E69BobMiller"/>
    <s v="Not Eligible"/>
    <x v="1"/>
    <n v="1322.1200042544747"/>
  </r>
  <r>
    <n v="70"/>
    <s v="david.lee@company.com"/>
    <s v="Prof."/>
    <s v="David"/>
    <s v="Lee"/>
    <x v="1"/>
    <m/>
    <s v="929-5699987"/>
    <s v="323-5699987"/>
    <x v="2"/>
    <s v="2019-01-15"/>
    <s v="01-15-2019"/>
    <n v="88410"/>
    <s v="11%"/>
    <x v="1"/>
    <x v="7"/>
    <s v="Top 10%"/>
    <n v="13394"/>
    <n v="58925"/>
    <n v="9.5500000000000007"/>
    <n v="19"/>
    <n v="12756.190476190475"/>
    <s v="Director"/>
    <s v="W"/>
    <s v="W70DavidLee"/>
    <s v="Eligible"/>
    <x v="4"/>
    <n v="3353.9959511502843"/>
  </r>
  <r>
    <n v="71"/>
    <s v="isla.brown@company.com"/>
    <s v="Prof."/>
    <s v="Isla"/>
    <s v="Brown"/>
    <x v="8"/>
    <m/>
    <s v="929-5857874"/>
    <s v="323-5857874"/>
    <x v="7"/>
    <s v="2016-02-18"/>
    <s v="02-18-2016"/>
    <n v="116092"/>
    <s v="9%"/>
    <x v="2"/>
    <x v="12"/>
    <s v="Top 10%"/>
    <n v="13534"/>
    <n v="75318"/>
    <n v="4.6100000000000003"/>
    <n v="36"/>
    <n v="12889.523809523809"/>
    <s v="Coordinator"/>
    <s v="N"/>
    <s v="N71IslaBrown"/>
    <s v="Eligible"/>
    <x v="2"/>
    <n v="2244.1834015710519"/>
  </r>
  <r>
    <n v="72"/>
    <s v="alice.davis@company.com"/>
    <s v="Ms."/>
    <s v="Alice"/>
    <s v="Davis"/>
    <x v="6"/>
    <m/>
    <s v="929-5857874"/>
    <s v="323-5857874"/>
    <x v="7"/>
    <s v="2021-09-15"/>
    <s v="09-15-2021"/>
    <n v="79185"/>
    <s v="10%"/>
    <x v="2"/>
    <x v="3"/>
    <s v="Not Top 10%"/>
    <n v="13653"/>
    <n v="44766"/>
    <n v="7.45"/>
    <n v="48"/>
    <n v="13002.857142857143"/>
    <s v="Director"/>
    <s v="N"/>
    <s v="N72AliceDavis"/>
    <s v="Not Eligible"/>
    <x v="0"/>
    <n v="1081.3484627861756"/>
  </r>
  <r>
    <n v="73"/>
    <s v="isla.johnson@company.com"/>
    <s v="Prof."/>
    <s v="Isla"/>
    <s v="Johnson"/>
    <x v="8"/>
    <m/>
    <s v="929-9665568"/>
    <s v="323-9665568"/>
    <x v="1"/>
    <s v="2015-06-27"/>
    <s v="06-27-2015"/>
    <n v="47725"/>
    <s v="15%"/>
    <x v="1"/>
    <x v="18"/>
    <s v="Not Top 10%"/>
    <n v="13837"/>
    <n v="96202"/>
    <n v="5.26"/>
    <n v="47"/>
    <n v="13178.095238095237"/>
    <s v="Specialist"/>
    <s v="W"/>
    <s v="W73IslaJohnson"/>
    <s v="Not Eligible"/>
    <x v="2"/>
    <n v="2269.3951416863511"/>
  </r>
  <r>
    <n v="74"/>
    <s v="alice.taylor@company.com"/>
    <s v="Ms."/>
    <s v="Alice"/>
    <s v="Taylor"/>
    <x v="6"/>
    <m/>
    <s v="696-5558898"/>
    <s v="323-5558898"/>
    <x v="5"/>
    <s v="2017-12-28"/>
    <s v="12-28-2017"/>
    <n v="94036"/>
    <s v="19%"/>
    <x v="1"/>
    <x v="4"/>
    <s v="Not Top 10%"/>
    <n v="13964"/>
    <n v="97897"/>
    <n v="6.62"/>
    <n v="31"/>
    <n v="13299.047619047618"/>
    <s v="Director"/>
    <s v="W"/>
    <s v="W74AliceTaylor"/>
    <s v="Not Eligible"/>
    <x v="3"/>
    <n v="3444.3748484129724"/>
  </r>
  <r>
    <n v="75"/>
    <s v="alice.davis@company.com"/>
    <s v="Dr."/>
    <s v="Alice"/>
    <s v="Davis"/>
    <x v="6"/>
    <m/>
    <s v="696-5558898"/>
    <s v="323-5558898"/>
    <x v="5"/>
    <s v="2015-12-21"/>
    <s v="12-21-2015"/>
    <n v="87905"/>
    <s v="5%"/>
    <x v="1"/>
    <x v="12"/>
    <s v="Top 10%"/>
    <n v="14185"/>
    <n v="10854"/>
    <n v="6.29"/>
    <n v="16"/>
    <n v="13509.523809523809"/>
    <s v="Specialist"/>
    <s v="W"/>
    <s v="W75AliceDavis"/>
    <s v="Eligible"/>
    <x v="2"/>
    <n v="708.99441816857859"/>
  </r>
  <r>
    <n v="76"/>
    <s v="grace.davis@company.com"/>
    <s v="Dr."/>
    <s v="Grace"/>
    <s v="Davis"/>
    <x v="4"/>
    <m/>
    <s v="929-5665569"/>
    <s v="323-5665569"/>
    <x v="6"/>
    <s v="2016-12-09"/>
    <s v="12-09-2016"/>
    <n v="48950"/>
    <s v="8%"/>
    <x v="3"/>
    <x v="20"/>
    <s v="Not Top 10%"/>
    <n v="14206"/>
    <n v="19474"/>
    <n v="4.25"/>
    <n v="53"/>
    <n v="13529.523809523809"/>
    <s v="Specialist"/>
    <s v="E"/>
    <s v="E76GraceDavis"/>
    <s v="Eligible"/>
    <x v="5"/>
    <n v="403.64577602050258"/>
  </r>
  <r>
    <n v="77"/>
    <s v="alice.clark@company.com"/>
    <s v="Ms."/>
    <s v="Alice"/>
    <s v="Clark"/>
    <x v="6"/>
    <m/>
    <s v="929-5699987"/>
    <s v="323-5699987"/>
    <x v="2"/>
    <s v="2017-09-30"/>
    <s v="09-30-2017"/>
    <n v="67316"/>
    <s v="8%"/>
    <x v="1"/>
    <x v="13"/>
    <s v="Not Top 10%"/>
    <n v="14666"/>
    <n v="62083"/>
    <n v="8.91"/>
    <n v="16"/>
    <n v="13967.619047619048"/>
    <s v="Director"/>
    <s v="W"/>
    <s v="W77AliceClark"/>
    <s v="Eligible"/>
    <x v="3"/>
    <n v="4129.6037190643374"/>
  </r>
  <r>
    <n v="78"/>
    <s v="grace.miller@company.com"/>
    <s v="Mrs."/>
    <s v="Grace"/>
    <s v="Miller"/>
    <x v="4"/>
    <m/>
    <s v="929-6554412"/>
    <s v="323-6554412"/>
    <x v="3"/>
    <s v="2015-04-29"/>
    <s v="04-29-2015"/>
    <n v="86143"/>
    <s v="18%"/>
    <x v="0"/>
    <x v="2"/>
    <s v="Not Top 10%"/>
    <n v="14990"/>
    <n v="61005"/>
    <n v="9.34"/>
    <n v="12"/>
    <n v="14276.190476190475"/>
    <s v="Assistant"/>
    <s v="S"/>
    <s v="S78GraceMiller"/>
    <s v="Not Eligible"/>
    <x v="8"/>
    <n v="5344.6006808311786"/>
  </r>
  <r>
    <n v="79"/>
    <s v="henry.lee@company.com"/>
    <s v="Dr."/>
    <s v="Henry"/>
    <s v="Lee"/>
    <x v="2"/>
    <m/>
    <s v="929-9665568"/>
    <s v="323-9665568"/>
    <x v="1"/>
    <s v="2018-11-17"/>
    <s v="11-17-2018"/>
    <n v="102839"/>
    <s v="9%"/>
    <x v="0"/>
    <x v="19"/>
    <s v="Not Top 10%"/>
    <n v="15067"/>
    <n v="32671"/>
    <n v="5.51"/>
    <n v="59"/>
    <n v="14349.523809523809"/>
    <s v="Junior Analyst"/>
    <s v="S"/>
    <s v="S79HenryLee"/>
    <s v="Not Eligible"/>
    <x v="4"/>
    <n v="633.39809023627186"/>
  </r>
  <r>
    <n v="80"/>
    <s v="frank.miller@company.com"/>
    <s v="Dr."/>
    <s v="Frank"/>
    <s v="Miller"/>
    <x v="3"/>
    <m/>
    <s v="929-5665569"/>
    <s v="323-5665569"/>
    <x v="6"/>
    <s v="2017-07-03"/>
    <s v="07-03-2017"/>
    <n v="63884"/>
    <s v="20%"/>
    <x v="1"/>
    <x v="18"/>
    <s v="Not Top 10%"/>
    <n v="15417"/>
    <n v="71087"/>
    <n v="7.13"/>
    <n v="34"/>
    <n v="14682.857142857143"/>
    <s v="Senior Analyst"/>
    <s v="W"/>
    <s v="W80FrankMiller"/>
    <s v="Not Eligible"/>
    <x v="3"/>
    <n v="2315.2717549719114"/>
  </r>
  <r>
    <n v="81"/>
    <s v="frank.taylor@company.com"/>
    <s v="Dr."/>
    <s v="Frank"/>
    <s v="Taylor"/>
    <x v="3"/>
    <m/>
    <s v="929-6554412"/>
    <s v="323-6554412"/>
    <x v="3"/>
    <s v="2018-05-24"/>
    <s v="05-24-2018"/>
    <n v="67443"/>
    <s v="19%"/>
    <x v="2"/>
    <x v="14"/>
    <s v="Not Top 10%"/>
    <n v="15773"/>
    <n v="44754"/>
    <n v="4.79"/>
    <n v="47"/>
    <n v="15021.904761904761"/>
    <s v="Junior Analyst"/>
    <s v="N"/>
    <s v="N81FrankTaylor"/>
    <s v="Not Eligible"/>
    <x v="4"/>
    <n v="1046.2192108921904"/>
  </r>
  <r>
    <n v="82"/>
    <s v="bob.davis@company.com"/>
    <s v="Dr."/>
    <s v="Bob"/>
    <s v="Davis"/>
    <x v="0"/>
    <m/>
    <s v="929-8552214"/>
    <s v="323-8552214"/>
    <x v="4"/>
    <s v="2022-12-02"/>
    <s v="12-02-2022"/>
    <n v="98934"/>
    <s v="13%"/>
    <x v="3"/>
    <x v="8"/>
    <s v="Not Top 10%"/>
    <n v="15986"/>
    <n v="77863"/>
    <n v="5.76"/>
    <n v="57"/>
    <n v="15224.761904761905"/>
    <s v="Specialist"/>
    <s v="E"/>
    <s v="E82BobDavis"/>
    <s v="Eligible"/>
    <x v="6"/>
    <n v="1564.6549736953414"/>
  </r>
  <r>
    <n v="83"/>
    <s v="jack.smith@company.com"/>
    <s v="Prof."/>
    <s v="Jack"/>
    <s v="Smith"/>
    <x v="9"/>
    <m/>
    <s v="929-8552214"/>
    <s v="323-8552214"/>
    <x v="4"/>
    <s v="2016-01-19"/>
    <s v="01-19-2016"/>
    <n v="72853"/>
    <s v="6%"/>
    <x v="3"/>
    <x v="16"/>
    <s v="Not Top 10%"/>
    <n v="16039"/>
    <n v="61663"/>
    <n v="8.94"/>
    <n v="44"/>
    <n v="15275.238095238095"/>
    <s v="Coordinator"/>
    <s v="E"/>
    <s v="E83JackSmith"/>
    <s v="Eligible"/>
    <x v="2"/>
    <n v="1648.820672003138"/>
  </r>
  <r>
    <n v="84"/>
    <s v="henry.miller@company.com"/>
    <s v="Ms."/>
    <s v="Henry"/>
    <s v="Miller"/>
    <x v="2"/>
    <m/>
    <s v="696-5558898"/>
    <s v="323-5558898"/>
    <x v="5"/>
    <s v="2015-08-25"/>
    <s v="08-25-2015"/>
    <n v="110404"/>
    <s v="8%"/>
    <x v="1"/>
    <x v="20"/>
    <s v="Not Top 10%"/>
    <n v="16423"/>
    <n v="97939"/>
    <n v="6.79"/>
    <n v="25"/>
    <n v="15640.95238095238"/>
    <s v="Junior Analyst"/>
    <s v="W"/>
    <s v="W84HenryMiller"/>
    <s v="Eligible"/>
    <x v="2"/>
    <n v="4212.2308710775505"/>
  </r>
  <r>
    <n v="85"/>
    <s v="grace.brown@company.com"/>
    <s v="Mr."/>
    <s v="Grace"/>
    <s v="Brown"/>
    <x v="4"/>
    <m/>
    <s v="929-6554412"/>
    <s v="323-6554412"/>
    <x v="3"/>
    <s v="2016-07-14"/>
    <s v="07-14-2016"/>
    <n v="98392"/>
    <s v="6%"/>
    <x v="3"/>
    <x v="5"/>
    <s v="Not Top 10%"/>
    <n v="16502"/>
    <n v="36105"/>
    <n v="5.61"/>
    <n v="50"/>
    <n v="15716.190476190475"/>
    <s v="Coordinator"/>
    <s v="E"/>
    <s v="E85GraceBrown"/>
    <s v="Eligible"/>
    <x v="5"/>
    <n v="811.4593087214563"/>
  </r>
  <r>
    <n v="86"/>
    <s v="henry.adams@company.com"/>
    <s v="Ms."/>
    <s v="Henry"/>
    <s v="Adams"/>
    <x v="2"/>
    <m/>
    <s v="929-9665568"/>
    <s v="323-9665568"/>
    <x v="1"/>
    <s v="2020-01-04"/>
    <s v="01-04-2020"/>
    <n v="68951"/>
    <s v="14%"/>
    <x v="3"/>
    <x v="12"/>
    <s v="Top 10%"/>
    <n v="16541"/>
    <n v="31959"/>
    <n v="8.2100000000000009"/>
    <n v="30"/>
    <n v="15753.333333333332"/>
    <s v="Junior Analyst"/>
    <s v="E"/>
    <s v="E86HenryAdams"/>
    <s v="Eligible"/>
    <x v="7"/>
    <n v="1181.9910273743171"/>
  </r>
  <r>
    <n v="87"/>
    <s v="isla.lee@company.com"/>
    <s v="Ms."/>
    <s v="Isla"/>
    <s v="Lee"/>
    <x v="8"/>
    <m/>
    <s v="696-5558898"/>
    <s v="323-5558898"/>
    <x v="5"/>
    <s v="2023-01-01"/>
    <s v="01-01-2023"/>
    <n v="50093"/>
    <s v="15%"/>
    <x v="0"/>
    <x v="16"/>
    <s v="Not Top 10%"/>
    <n v="16948"/>
    <n v="66250"/>
    <n v="5.08"/>
    <n v="21"/>
    <n v="16140.95238095238"/>
    <s v="Manager"/>
    <s v="S"/>
    <s v="S87IslaLee"/>
    <s v="Eligible"/>
    <x v="6"/>
    <n v="3303.7370207702947"/>
  </r>
  <r>
    <n v="88"/>
    <s v="frank.johnson@company.com"/>
    <s v="Mr."/>
    <s v="Frank"/>
    <s v="Johnson"/>
    <x v="3"/>
    <m/>
    <s v="929-5699987"/>
    <s v="323-5699987"/>
    <x v="2"/>
    <s v="2017-09-01"/>
    <s v="09-01-2017"/>
    <n v="49326"/>
    <s v="14%"/>
    <x v="3"/>
    <x v="16"/>
    <s v="Not Top 10%"/>
    <n v="17265"/>
    <n v="35184"/>
    <n v="4.78"/>
    <n v="32"/>
    <n v="16442.857142857141"/>
    <s v="Coordinator"/>
    <s v="E"/>
    <s v="E88FrankJohnson"/>
    <s v="Eligible"/>
    <x v="3"/>
    <n v="1173.2485290487814"/>
  </r>
  <r>
    <n v="89"/>
    <s v="jack.miller@company.com"/>
    <s v="Mrs."/>
    <s v="Jack"/>
    <s v="Miller"/>
    <x v="9"/>
    <m/>
    <s v="696-5558898"/>
    <s v="323-5558898"/>
    <x v="5"/>
    <s v="2018-09-19"/>
    <s v="09-19-2018"/>
    <n v="59821"/>
    <s v="20%"/>
    <x v="3"/>
    <x v="5"/>
    <s v="Not Top 10%"/>
    <n v="17422"/>
    <n v="62662"/>
    <n v="4.34"/>
    <n v="39"/>
    <n v="16592.38095238095"/>
    <s v="Director"/>
    <s v="E"/>
    <s v="E89JackMiller"/>
    <s v="Eligible"/>
    <x v="4"/>
    <n v="1725.5936000808176"/>
  </r>
  <r>
    <n v="90"/>
    <s v="henry.green@company.com"/>
    <s v="Dr."/>
    <s v="Henry"/>
    <s v="Green"/>
    <x v="2"/>
    <m/>
    <s v="929-9665568"/>
    <s v="323-9665568"/>
    <x v="1"/>
    <s v="2022-01-11"/>
    <s v="01-11-2022"/>
    <n v="106644"/>
    <s v="7%"/>
    <x v="2"/>
    <x v="17"/>
    <s v="Not Top 10%"/>
    <n v="17787"/>
    <n v="16776"/>
    <n v="3.13"/>
    <n v="27"/>
    <n v="16940"/>
    <s v="Junior Analyst"/>
    <s v="N"/>
    <s v="N90HenryGreen"/>
    <s v="Not Eligible"/>
    <x v="0"/>
    <n v="644.27844951775683"/>
  </r>
  <r>
    <n v="91"/>
    <s v="carol.adams@company.com"/>
    <s v="Mr."/>
    <s v="Carol"/>
    <s v="Adams"/>
    <x v="5"/>
    <m/>
    <s v="929-9665568"/>
    <s v="323-9665568"/>
    <x v="1"/>
    <s v="2016-11-09"/>
    <s v="11-09-2016"/>
    <n v="80211"/>
    <n v="0.18"/>
    <x v="0"/>
    <x v="9"/>
    <s v="Not Top 10%"/>
    <n v="17795"/>
    <n v="16910"/>
    <n v="3.67"/>
    <n v="18"/>
    <n v="16947.619047619046"/>
    <s v="Consultant"/>
    <s v="S"/>
    <s v="S91CarolAdams"/>
    <s v="Eligible"/>
    <x v="5"/>
    <n v="966.97536385346098"/>
  </r>
  <r>
    <n v="92"/>
    <s v="david.brown@company.com"/>
    <s v="Prof."/>
    <s v="David"/>
    <s v="Brown"/>
    <x v="1"/>
    <m/>
    <s v="929-8552214"/>
    <s v="323-8552214"/>
    <x v="4"/>
    <s v="2019-10-08"/>
    <s v="10-08-2019"/>
    <n v="106615"/>
    <s v="15%"/>
    <x v="1"/>
    <x v="8"/>
    <s v="Not Top 10%"/>
    <n v="18023"/>
    <n v="90356"/>
    <n v="4.5999999999999996"/>
    <n v="34"/>
    <n v="17164.761904761905"/>
    <s v="Assistant"/>
    <s v="W"/>
    <s v="W92DavidBrown"/>
    <s v="Eligible"/>
    <x v="7"/>
    <n v="2839.5557497803716"/>
  </r>
  <r>
    <n v="93"/>
    <s v="frank.brown@company.com"/>
    <s v="Mrs."/>
    <s v="Frank"/>
    <s v="Brown"/>
    <x v="3"/>
    <m/>
    <s v="929-5857874"/>
    <s v="323-5857874"/>
    <x v="7"/>
    <s v="2015-10-23"/>
    <s v="10-23-2015"/>
    <n v="119285"/>
    <s v="17%"/>
    <x v="3"/>
    <x v="10"/>
    <s v="Not Top 10%"/>
    <n v="18216"/>
    <n v="60859"/>
    <n v="6.87"/>
    <n v="27"/>
    <n v="17348.571428571428"/>
    <s v="Senior Analyst"/>
    <s v="E"/>
    <s v="E93FrankBrown"/>
    <s v="Eligible"/>
    <x v="2"/>
    <n v="2439.1654538814614"/>
  </r>
  <r>
    <n v="94"/>
    <s v="isla.brown@company.com"/>
    <s v="Mrs."/>
    <s v="Isla"/>
    <s v="Brown"/>
    <x v="8"/>
    <m/>
    <s v="929-5857874"/>
    <s v="323-5857874"/>
    <x v="7"/>
    <s v="2021-04-21"/>
    <s v="04-21-2021"/>
    <n v="90622"/>
    <s v="10%"/>
    <x v="2"/>
    <x v="10"/>
    <s v="Not Top 10%"/>
    <n v="18448"/>
    <n v="97092"/>
    <n v="5.32"/>
    <n v="37"/>
    <n v="17569.523809523809"/>
    <s v="Assistant"/>
    <s v="N"/>
    <s v="N94IslaBrown"/>
    <s v="Eligible"/>
    <x v="1"/>
    <n v="2851.0094609979392"/>
  </r>
  <r>
    <n v="95"/>
    <s v="david.davis@company.com"/>
    <s v="Dr."/>
    <s v="David"/>
    <s v="Davis"/>
    <x v="1"/>
    <m/>
    <s v="929-8552214"/>
    <s v="323-8552214"/>
    <x v="4"/>
    <s v="2022-02-10"/>
    <s v="02-10-2022"/>
    <n v="69868"/>
    <s v="14%"/>
    <x v="2"/>
    <x v="5"/>
    <s v="Not Top 10%"/>
    <n v="18850"/>
    <n v="60015"/>
    <n v="8.15"/>
    <n v="57"/>
    <n v="17952.38095238095"/>
    <s v="Consultant"/>
    <s v="N"/>
    <s v="N95DavidDavis"/>
    <s v="Eligible"/>
    <x v="0"/>
    <n v="1273.3396528094336"/>
  </r>
  <r>
    <n v="96"/>
    <s v="bob.green@company.com"/>
    <s v="Ms."/>
    <s v="Bob"/>
    <s v="Green"/>
    <x v="0"/>
    <m/>
    <s v="929-8552214"/>
    <s v="323-8552214"/>
    <x v="4"/>
    <s v="2019-11-06"/>
    <s v="11-06-2019"/>
    <n v="116349"/>
    <s v="6%"/>
    <x v="0"/>
    <x v="11"/>
    <s v="Not Top 10%"/>
    <n v="19159"/>
    <n v="65016"/>
    <n v="6.46"/>
    <n v="24"/>
    <n v="18246.666666666664"/>
    <s v="Assistant"/>
    <s v="S"/>
    <s v="S96BobGreen"/>
    <s v="Not Eligible"/>
    <x v="7"/>
    <n v="2895.0438172351855"/>
  </r>
  <r>
    <n v="97"/>
    <s v="isla.johnson@company.com"/>
    <s v="Mrs."/>
    <s v="Isla"/>
    <s v="Johnson"/>
    <x v="8"/>
    <m/>
    <s v="696-5558898"/>
    <s v="323-5558898"/>
    <x v="5"/>
    <s v="2020-05-31"/>
    <s v="05-31-2020"/>
    <n v="61391"/>
    <s v="8%"/>
    <x v="2"/>
    <x v="1"/>
    <s v="Not Top 10%"/>
    <n v="19262"/>
    <n v="95616"/>
    <n v="3.31"/>
    <n v="27"/>
    <n v="18344.761904761905"/>
    <s v="Director"/>
    <s v="N"/>
    <s v="N97IslaJohnson"/>
    <s v="Not Eligible"/>
    <x v="1"/>
    <n v="3679.7200173258188"/>
  </r>
  <r>
    <n v="98"/>
    <s v="david.smith@company.com"/>
    <s v="Mr."/>
    <s v="David"/>
    <s v="Smith"/>
    <x v="1"/>
    <m/>
    <s v="929-5665569"/>
    <s v="323-5665569"/>
    <x v="6"/>
    <s v="2021-07-18"/>
    <s v="07-18-2021"/>
    <n v="88680"/>
    <s v="20%"/>
    <x v="0"/>
    <x v="4"/>
    <s v="Not Top 10%"/>
    <n v="19412"/>
    <n v="21411"/>
    <n v="7.28"/>
    <n v="45"/>
    <n v="18487.619047619046"/>
    <s v="Manager"/>
    <s v="S"/>
    <s v="S98DavidSmith"/>
    <s v="Not Eligible"/>
    <x v="0"/>
    <n v="545.13102125113824"/>
  </r>
  <r>
    <n v="99"/>
    <s v="bob.johnson@company.com"/>
    <s v="Ms."/>
    <s v="Bob"/>
    <s v="Johnson"/>
    <x v="0"/>
    <m/>
    <s v="929-5699987"/>
    <s v="323-5699987"/>
    <x v="2"/>
    <s v="2017-06-04"/>
    <s v="06-04-2017"/>
    <n v="59286"/>
    <s v="20%"/>
    <x v="3"/>
    <x v="18"/>
    <s v="Not Top 10%"/>
    <n v="19568"/>
    <n v="85450"/>
    <n v="9.18"/>
    <n v="36"/>
    <n v="18636.190476190477"/>
    <s v="Manager"/>
    <s v="E"/>
    <s v="E99BobJohnson"/>
    <s v="Not Eligible"/>
    <x v="3"/>
    <n v="2724.4513272519298"/>
  </r>
  <r>
    <n v="100"/>
    <s v="david.johnson@company.com"/>
    <s v="Mr."/>
    <s v="David"/>
    <s v="Johnson"/>
    <x v="1"/>
    <m/>
    <s v="929-5699987"/>
    <s v="323-5699987"/>
    <x v="2"/>
    <s v="2019-03-15"/>
    <s v="03-15-2019"/>
    <n v="111329"/>
    <s v="9%"/>
    <x v="3"/>
    <x v="19"/>
    <s v="Not Top 10%"/>
    <n v="19912"/>
    <n v="35939"/>
    <n v="8.9600000000000009"/>
    <n v="44"/>
    <n v="18963.809523809523"/>
    <s v="Coordinator"/>
    <s v="E"/>
    <s v="E100DavidJohnson"/>
    <s v="Not Eligible"/>
    <x v="4"/>
    <n v="961.319659445927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2688D5-3430-4FF1-BDB2-08F691507415}" name="Employee Data by Dept"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B13" firstHeaderRow="1" firstDataRow="1" firstDataCol="1" rowPageCount="2" colPageCount="1"/>
  <pivotFields count="28">
    <pivotField multipleItemSelectionAllowed="1" showAll="0"/>
    <pivotField showAll="0"/>
    <pivotField showAll="0"/>
    <pivotField showAll="0"/>
    <pivotField showAll="0"/>
    <pivotField axis="axisPage" showAll="0">
      <items count="11">
        <item x="6"/>
        <item x="0"/>
        <item x="5"/>
        <item x="1"/>
        <item x="7"/>
        <item x="3"/>
        <item x="4"/>
        <item x="2"/>
        <item x="8"/>
        <item x="9"/>
        <item t="default"/>
      </items>
    </pivotField>
    <pivotField showAll="0"/>
    <pivotField showAll="0"/>
    <pivotField showAll="0"/>
    <pivotField axis="axisRow" showAll="0">
      <items count="9">
        <item x="7"/>
        <item x="2"/>
        <item x="5"/>
        <item x="4"/>
        <item x="3"/>
        <item x="1"/>
        <item x="6"/>
        <item x="0"/>
        <item t="default"/>
      </items>
    </pivotField>
    <pivotField showAll="0"/>
    <pivotField showAll="0"/>
    <pivotField dataField="1" numFmtId="44" showAll="0"/>
    <pivotField showAll="0"/>
    <pivotField showAll="0">
      <items count="5">
        <item h="1" x="3"/>
        <item h="1" x="2"/>
        <item h="1" x="0"/>
        <item x="1"/>
        <item t="default"/>
      </items>
    </pivotField>
    <pivotField axis="axisPage" showAll="0">
      <items count="22">
        <item x="1"/>
        <item x="11"/>
        <item x="14"/>
        <item x="17"/>
        <item x="3"/>
        <item x="4"/>
        <item x="2"/>
        <item x="15"/>
        <item x="18"/>
        <item x="19"/>
        <item x="5"/>
        <item x="10"/>
        <item x="13"/>
        <item x="8"/>
        <item x="16"/>
        <item x="6"/>
        <item x="9"/>
        <item x="0"/>
        <item x="20"/>
        <item x="7"/>
        <item x="12"/>
        <item t="default"/>
      </items>
    </pivotField>
    <pivotField showAll="0"/>
    <pivotField numFmtId="44" showAll="0"/>
    <pivotField numFmtId="44" showAll="0"/>
    <pivotField showAll="0"/>
    <pivotField showAll="0"/>
    <pivotField numFmtId="8" showAll="0"/>
    <pivotField showAll="0"/>
    <pivotField showAll="0"/>
    <pivotField showAll="0"/>
    <pivotField showAll="0"/>
    <pivotField showAll="0"/>
    <pivotField numFmtId="8" showAll="0"/>
  </pivotFields>
  <rowFields count="1">
    <field x="9"/>
  </rowFields>
  <rowItems count="9">
    <i>
      <x/>
    </i>
    <i>
      <x v="1"/>
    </i>
    <i>
      <x v="2"/>
    </i>
    <i>
      <x v="3"/>
    </i>
    <i>
      <x v="4"/>
    </i>
    <i>
      <x v="5"/>
    </i>
    <i>
      <x v="6"/>
    </i>
    <i>
      <x v="7"/>
    </i>
    <i t="grand">
      <x/>
    </i>
  </rowItems>
  <colItems count="1">
    <i/>
  </colItems>
  <pageFields count="2">
    <pageField fld="5" hier="-1"/>
    <pageField fld="15" hier="-1"/>
  </pageFields>
  <dataFields count="1">
    <dataField name="Sum of Salary" fld="12" baseField="0" baseItem="0" numFmtId="44"/>
  </dataFields>
  <chartFormats count="11">
    <chartFormat chart="17" format="128" series="1">
      <pivotArea type="data" outline="0" fieldPosition="0">
        <references count="2">
          <reference field="4294967294" count="1" selected="0">
            <x v="0"/>
          </reference>
          <reference field="9" count="1" selected="0">
            <x v="0"/>
          </reference>
        </references>
      </pivotArea>
    </chartFormat>
    <chartFormat chart="17" format="131" series="1">
      <pivotArea type="data" outline="0" fieldPosition="0">
        <references count="2">
          <reference field="4294967294" count="1" selected="0">
            <x v="0"/>
          </reference>
          <reference field="9" count="1" selected="0">
            <x v="1"/>
          </reference>
        </references>
      </pivotArea>
    </chartFormat>
    <chartFormat chart="17" format="134" series="1">
      <pivotArea type="data" outline="0" fieldPosition="0">
        <references count="2">
          <reference field="4294967294" count="1" selected="0">
            <x v="0"/>
          </reference>
          <reference field="9" count="1" selected="0">
            <x v="2"/>
          </reference>
        </references>
      </pivotArea>
    </chartFormat>
    <chartFormat chart="17" format="135">
      <pivotArea type="data" outline="0" fieldPosition="0">
        <references count="2">
          <reference field="4294967294" count="1" selected="0">
            <x v="0"/>
          </reference>
          <reference field="9" count="1" selected="0">
            <x v="2"/>
          </reference>
        </references>
      </pivotArea>
    </chartFormat>
    <chartFormat chart="17" format="138" series="1">
      <pivotArea type="data" outline="0" fieldPosition="0">
        <references count="2">
          <reference field="4294967294" count="1" selected="0">
            <x v="0"/>
          </reference>
          <reference field="9" count="1" selected="0">
            <x v="3"/>
          </reference>
        </references>
      </pivotArea>
    </chartFormat>
    <chartFormat chart="17" format="141" series="1">
      <pivotArea type="data" outline="0" fieldPosition="0">
        <references count="2">
          <reference field="4294967294" count="1" selected="0">
            <x v="0"/>
          </reference>
          <reference field="9" count="1" selected="0">
            <x v="4"/>
          </reference>
        </references>
      </pivotArea>
    </chartFormat>
    <chartFormat chart="17" format="144" series="1">
      <pivotArea type="data" outline="0" fieldPosition="0">
        <references count="2">
          <reference field="4294967294" count="1" selected="0">
            <x v="0"/>
          </reference>
          <reference field="9" count="1" selected="0">
            <x v="5"/>
          </reference>
        </references>
      </pivotArea>
    </chartFormat>
    <chartFormat chart="17" format="145">
      <pivotArea type="data" outline="0" fieldPosition="0">
        <references count="2">
          <reference field="4294967294" count="1" selected="0">
            <x v="0"/>
          </reference>
          <reference field="9" count="1" selected="0">
            <x v="5"/>
          </reference>
        </references>
      </pivotArea>
    </chartFormat>
    <chartFormat chart="17" format="148" series="1">
      <pivotArea type="data" outline="0" fieldPosition="0">
        <references count="2">
          <reference field="4294967294" count="1" selected="0">
            <x v="0"/>
          </reference>
          <reference field="9" count="1" selected="0">
            <x v="6"/>
          </reference>
        </references>
      </pivotArea>
    </chartFormat>
    <chartFormat chart="17" format="151" series="1">
      <pivotArea type="data" outline="0" fieldPosition="0">
        <references count="2">
          <reference field="4294967294" count="1" selected="0">
            <x v="0"/>
          </reference>
          <reference field="9" count="1" selected="0">
            <x v="7"/>
          </reference>
        </references>
      </pivotArea>
    </chartFormat>
    <chartFormat chart="17" format="15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DF6D5C-145A-4913-A46B-9B514A45A5C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2" firstHeaderRow="0" firstDataRow="1" firstDataCol="1"/>
  <pivotFields count="28">
    <pivotField showAll="0"/>
    <pivotField showAll="0"/>
    <pivotField showAll="0"/>
    <pivotField showAll="0"/>
    <pivotField showAll="0"/>
    <pivotField showAll="0"/>
    <pivotField showAll="0"/>
    <pivotField showAll="0"/>
    <pivotField showAll="0"/>
    <pivotField axis="axisRow" showAll="0">
      <items count="9">
        <item x="7"/>
        <item x="2"/>
        <item x="5"/>
        <item x="4"/>
        <item x="3"/>
        <item x="1"/>
        <item x="6"/>
        <item x="0"/>
        <item t="default"/>
      </items>
    </pivotField>
    <pivotField showAll="0"/>
    <pivotField showAll="0"/>
    <pivotField numFmtId="44" showAll="0"/>
    <pivotField showAll="0"/>
    <pivotField showAll="0"/>
    <pivotField showAll="0"/>
    <pivotField showAll="0"/>
    <pivotField numFmtId="44" showAll="0"/>
    <pivotField dataField="1" numFmtId="44" showAll="0"/>
    <pivotField dataField="1" showAll="0"/>
    <pivotField showAll="0"/>
    <pivotField numFmtId="8" showAll="0"/>
    <pivotField showAll="0"/>
    <pivotField showAll="0"/>
    <pivotField showAll="0"/>
    <pivotField showAll="0"/>
    <pivotField showAll="0"/>
    <pivotField numFmtId="8" showAll="0"/>
  </pivotFields>
  <rowFields count="1">
    <field x="9"/>
  </rowFields>
  <rowItems count="9">
    <i>
      <x/>
    </i>
    <i>
      <x v="1"/>
    </i>
    <i>
      <x v="2"/>
    </i>
    <i>
      <x v="3"/>
    </i>
    <i>
      <x v="4"/>
    </i>
    <i>
      <x v="5"/>
    </i>
    <i>
      <x v="6"/>
    </i>
    <i>
      <x v="7"/>
    </i>
    <i t="grand">
      <x/>
    </i>
  </rowItems>
  <colFields count="1">
    <field x="-2"/>
  </colFields>
  <colItems count="2">
    <i>
      <x/>
    </i>
    <i i="1">
      <x v="1"/>
    </i>
  </colItems>
  <dataFields count="2">
    <dataField name="Sum of Loan Amount" fld="18" baseField="0" baseItem="0" numFmtId="44"/>
    <dataField name="Average of Interest Rate %" fld="19" subtotal="average" baseField="9" baseItem="0"/>
  </dataFields>
  <conditionalFormats count="2">
    <conditionalFormat type="all" priority="1">
      <pivotAreas count="1">
        <pivotArea type="data" collapsedLevelsAreSubtotals="1" fieldPosition="0">
          <references count="2">
            <reference field="4294967294" count="1" selected="0">
              <x v="1"/>
            </reference>
            <reference field="9" count="8">
              <x v="0"/>
              <x v="1"/>
              <x v="2"/>
              <x v="3"/>
              <x v="4"/>
              <x v="5"/>
              <x v="6"/>
              <x v="7"/>
            </reference>
          </references>
        </pivotArea>
      </pivotAreas>
    </conditionalFormat>
    <conditionalFormat type="all" priority="3">
      <pivotAreas count="1">
        <pivotArea type="data" collapsedLevelsAreSubtotals="1" fieldPosition="0">
          <references count="2">
            <reference field="4294967294" count="1" selected="0">
              <x v="0"/>
            </reference>
            <reference field="9" count="8">
              <x v="0"/>
              <x v="1"/>
              <x v="2"/>
              <x v="3"/>
              <x v="4"/>
              <x v="5"/>
              <x v="6"/>
              <x v="7"/>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9" count="1" selected="0">
            <x v="7"/>
          </reference>
        </references>
      </pivotArea>
    </chartFormat>
    <chartFormat chart="0" format="3">
      <pivotArea type="data" outline="0" fieldPosition="0">
        <references count="2">
          <reference field="4294967294" count="1" selected="0">
            <x v="1"/>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EC6D92-C9B6-41F5-B597-B3F91E4372A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8" firstHeaderRow="0" firstDataRow="1" firstDataCol="1"/>
  <pivotFields count="28">
    <pivotField showAll="0"/>
    <pivotField showAll="0"/>
    <pivotField showAll="0"/>
    <pivotField showAll="0"/>
    <pivotField showAll="0"/>
    <pivotField dataField="1" showAll="0">
      <items count="11">
        <item x="6"/>
        <item x="0"/>
        <item x="5"/>
        <item x="1"/>
        <item x="7"/>
        <item x="3"/>
        <item x="4"/>
        <item x="2"/>
        <item x="8"/>
        <item x="9"/>
        <item t="default"/>
      </items>
    </pivotField>
    <pivotField showAll="0"/>
    <pivotField showAll="0"/>
    <pivotField showAll="0"/>
    <pivotField showAll="0"/>
    <pivotField showAll="0"/>
    <pivotField showAll="0"/>
    <pivotField numFmtId="44" showAll="0"/>
    <pivotField showAll="0"/>
    <pivotField axis="axisRow" showAll="0">
      <items count="5">
        <item x="3"/>
        <item x="2"/>
        <item x="0"/>
        <item x="1"/>
        <item t="default"/>
      </items>
    </pivotField>
    <pivotField showAll="0"/>
    <pivotField showAll="0"/>
    <pivotField numFmtId="44" showAll="0"/>
    <pivotField numFmtId="44" showAll="0"/>
    <pivotField showAll="0"/>
    <pivotField showAll="0"/>
    <pivotField numFmtId="8" showAll="0"/>
    <pivotField showAll="0"/>
    <pivotField showAll="0"/>
    <pivotField showAll="0"/>
    <pivotField showAll="0"/>
    <pivotField dataField="1" showAll="0"/>
    <pivotField numFmtId="8" showAll="0"/>
  </pivotFields>
  <rowFields count="1">
    <field x="14"/>
  </rowFields>
  <rowItems count="5">
    <i>
      <x/>
    </i>
    <i>
      <x v="1"/>
    </i>
    <i>
      <x v="2"/>
    </i>
    <i>
      <x v="3"/>
    </i>
    <i t="grand">
      <x/>
    </i>
  </rowItems>
  <colFields count="1">
    <field x="-2"/>
  </colFields>
  <colItems count="2">
    <i>
      <x/>
    </i>
    <i i="1">
      <x v="1"/>
    </i>
  </colItems>
  <dataFields count="2">
    <dataField name="Count of Emp_Initial_Code" fld="5" subtotal="count" baseField="0" baseItem="0"/>
    <dataField name="Average of Years with Company" fld="26" subtotal="average" baseField="14" baseItem="1"/>
  </dataFields>
  <conditionalFormats count="2">
    <conditionalFormat type="all" priority="1">
      <pivotAreas count="1">
        <pivotArea type="data" collapsedLevelsAreSubtotals="1" fieldPosition="0">
          <references count="2">
            <reference field="4294967294" count="1" selected="0">
              <x v="1"/>
            </reference>
            <reference field="14" count="4">
              <x v="0"/>
              <x v="1"/>
              <x v="2"/>
              <x v="3"/>
            </reference>
          </references>
        </pivotArea>
      </pivotAreas>
    </conditionalFormat>
    <conditionalFormat type="all" priority="2">
      <pivotAreas count="1">
        <pivotArea type="data" collapsedLevelsAreSubtotals="1" fieldPosition="0">
          <references count="2">
            <reference field="4294967294" count="1" selected="0">
              <x v="1"/>
            </reference>
            <reference field="14" count="4">
              <x v="0"/>
              <x v="1"/>
              <x v="2"/>
              <x v="3"/>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C938FB-6D74-4477-BEA5-868EA11D664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2" firstHeaderRow="0" firstDataRow="1" firstDataCol="1"/>
  <pivotFields count="28">
    <pivotField showAll="0"/>
    <pivotField showAll="0"/>
    <pivotField showAll="0"/>
    <pivotField showAll="0"/>
    <pivotField showAll="0"/>
    <pivotField showAll="0"/>
    <pivotField showAll="0"/>
    <pivotField showAll="0"/>
    <pivotField showAll="0"/>
    <pivotField axis="axisRow" showAll="0">
      <items count="9">
        <item x="7"/>
        <item x="2"/>
        <item x="5"/>
        <item x="4"/>
        <item x="3"/>
        <item x="1"/>
        <item x="6"/>
        <item x="0"/>
        <item t="default"/>
      </items>
    </pivotField>
    <pivotField showAll="0"/>
    <pivotField showAll="0"/>
    <pivotField numFmtId="44" showAll="0"/>
    <pivotField showAll="0"/>
    <pivotField showAll="0"/>
    <pivotField dataField="1" showAll="0"/>
    <pivotField showAll="0"/>
    <pivotField numFmtId="44" showAll="0"/>
    <pivotField numFmtId="44" showAll="0"/>
    <pivotField showAll="0"/>
    <pivotField showAll="0"/>
    <pivotField numFmtId="8" showAll="0"/>
    <pivotField showAll="0"/>
    <pivotField showAll="0"/>
    <pivotField showAll="0"/>
    <pivotField showAll="0"/>
    <pivotField dataField="1" showAll="0">
      <items count="10">
        <item x="6"/>
        <item x="0"/>
        <item x="1"/>
        <item x="7"/>
        <item x="4"/>
        <item x="3"/>
        <item x="5"/>
        <item x="2"/>
        <item x="8"/>
        <item t="default"/>
      </items>
    </pivotField>
    <pivotField numFmtId="8" showAll="0"/>
  </pivotFields>
  <rowFields count="1">
    <field x="9"/>
  </rowFields>
  <rowItems count="9">
    <i>
      <x/>
    </i>
    <i>
      <x v="1"/>
    </i>
    <i>
      <x v="2"/>
    </i>
    <i>
      <x v="3"/>
    </i>
    <i>
      <x v="4"/>
    </i>
    <i>
      <x v="5"/>
    </i>
    <i>
      <x v="6"/>
    </i>
    <i>
      <x v="7"/>
    </i>
    <i t="grand">
      <x/>
    </i>
  </rowItems>
  <colFields count="1">
    <field x="-2"/>
  </colFields>
  <colItems count="2">
    <i>
      <x/>
    </i>
    <i i="1">
      <x v="1"/>
    </i>
  </colItems>
  <dataFields count="2">
    <dataField name="Average of Years with Company" fld="26" subtotal="average" baseField="0" baseItem="0" numFmtId="165"/>
    <dataField name="Average of Performance Rating" fld="15" subtotal="average" baseField="0" baseItem="1"/>
  </dataFields>
  <formats count="16">
    <format dxfId="17">
      <pivotArea collapsedLevelsAreSubtotals="1" fieldPosition="0">
        <references count="2">
          <reference field="4294967294" count="1" selected="0">
            <x v="1"/>
          </reference>
          <reference field="9" count="1">
            <x v="1"/>
          </reference>
        </references>
      </pivotArea>
    </format>
    <format dxfId="16">
      <pivotArea collapsedLevelsAreSubtotals="1" fieldPosition="0">
        <references count="2">
          <reference field="4294967294" count="1" selected="0">
            <x v="1"/>
          </reference>
          <reference field="9" count="1">
            <x v="0"/>
          </reference>
        </references>
      </pivotArea>
    </format>
    <format dxfId="15">
      <pivotArea collapsedLevelsAreSubtotals="1" fieldPosition="0">
        <references count="2">
          <reference field="4294967294" count="1" selected="0">
            <x v="1"/>
          </reference>
          <reference field="9" count="1">
            <x v="2"/>
          </reference>
        </references>
      </pivotArea>
    </format>
    <format dxfId="14">
      <pivotArea collapsedLevelsAreSubtotals="1" fieldPosition="0">
        <references count="2">
          <reference field="4294967294" count="1" selected="0">
            <x v="1"/>
          </reference>
          <reference field="9" count="1">
            <x v="3"/>
          </reference>
        </references>
      </pivotArea>
    </format>
    <format dxfId="13">
      <pivotArea collapsedLevelsAreSubtotals="1" fieldPosition="0">
        <references count="2">
          <reference field="4294967294" count="1" selected="0">
            <x v="1"/>
          </reference>
          <reference field="9" count="1">
            <x v="4"/>
          </reference>
        </references>
      </pivotArea>
    </format>
    <format dxfId="12">
      <pivotArea collapsedLevelsAreSubtotals="1" fieldPosition="0">
        <references count="2">
          <reference field="4294967294" count="1" selected="0">
            <x v="1"/>
          </reference>
          <reference field="9" count="1">
            <x v="5"/>
          </reference>
        </references>
      </pivotArea>
    </format>
    <format dxfId="11">
      <pivotArea collapsedLevelsAreSubtotals="1" fieldPosition="0">
        <references count="2">
          <reference field="4294967294" count="1" selected="0">
            <x v="1"/>
          </reference>
          <reference field="9" count="1">
            <x v="6"/>
          </reference>
        </references>
      </pivotArea>
    </format>
    <format dxfId="10">
      <pivotArea collapsedLevelsAreSubtotals="1" fieldPosition="0">
        <references count="2">
          <reference field="4294967294" count="1" selected="0">
            <x v="1"/>
          </reference>
          <reference field="9" count="1">
            <x v="7"/>
          </reference>
        </references>
      </pivotArea>
    </format>
    <format dxfId="9">
      <pivotArea collapsedLevelsAreSubtotals="1" fieldPosition="0">
        <references count="2">
          <reference field="4294967294" count="1" selected="0">
            <x v="0"/>
          </reference>
          <reference field="9" count="1">
            <x v="1"/>
          </reference>
        </references>
      </pivotArea>
    </format>
    <format dxfId="8">
      <pivotArea collapsedLevelsAreSubtotals="1" fieldPosition="0">
        <references count="2">
          <reference field="4294967294" count="1" selected="0">
            <x v="0"/>
          </reference>
          <reference field="9" count="1">
            <x v="2"/>
          </reference>
        </references>
      </pivotArea>
    </format>
    <format dxfId="7">
      <pivotArea collapsedLevelsAreSubtotals="1" fieldPosition="0">
        <references count="2">
          <reference field="4294967294" count="1" selected="0">
            <x v="0"/>
          </reference>
          <reference field="9" count="1">
            <x v="4"/>
          </reference>
        </references>
      </pivotArea>
    </format>
    <format dxfId="6">
      <pivotArea collapsedLevelsAreSubtotals="1" fieldPosition="0">
        <references count="2">
          <reference field="4294967294" count="1" selected="0">
            <x v="0"/>
          </reference>
          <reference field="9" count="1">
            <x v="5"/>
          </reference>
        </references>
      </pivotArea>
    </format>
    <format dxfId="5">
      <pivotArea collapsedLevelsAreSubtotals="1" fieldPosition="0">
        <references count="2">
          <reference field="4294967294" count="1" selected="0">
            <x v="0"/>
          </reference>
          <reference field="9" count="1">
            <x v="6"/>
          </reference>
        </references>
      </pivotArea>
    </format>
    <format dxfId="4">
      <pivotArea collapsedLevelsAreSubtotals="1" fieldPosition="0">
        <references count="2">
          <reference field="4294967294" count="1" selected="0">
            <x v="0"/>
          </reference>
          <reference field="9" count="1">
            <x v="7"/>
          </reference>
        </references>
      </pivotArea>
    </format>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18">
      <pivotArea type="data" outline="0" fieldPosition="0">
        <references count="2">
          <reference field="4294967294" count="1" selected="0">
            <x v="1"/>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709BE4-CFD3-4A37-8074-DD12BA06B805}" sourceName="Region">
  <pivotTables>
    <pivotTable tabId="4" name="Employee Data by Dept"/>
  </pivotTables>
  <data>
    <tabular pivotCacheId="898364793">
      <items count="4">
        <i x="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050517-55EC-48E6-B8B7-F53721311E8C}"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B3B668-1616-4DB0-89A7-C9F4273334C9}" name="EmployeeTable" displayName="EmployeeTable" ref="A1:AA101" headerRowDxfId="75" tableBorderDxfId="74">
  <autoFilter ref="A1:AA101" xr:uid="{DCB3B668-1616-4DB0-89A7-C9F4273334C9}"/>
  <tableColumns count="27">
    <tableColumn id="1" xr3:uid="{304DE777-8086-4639-8A4F-F46F7B43BF16}" name="Employee ID" totalsRowLabel="Total" dataDxfId="73" totalsRowDxfId="72"/>
    <tableColumn id="24" xr3:uid="{49E8CE34-9708-4F07-9B79-F097DF871379}" name="Email IDs" dataDxfId="71">
      <calculatedColumnFormula>LOWER(_xlfn.CONCAT(EmployeeTable[[#This Row],[First Name]],".",EmployeeTable[[#This Row],[Last Name]],"@company.com"))</calculatedColumnFormula>
    </tableColumn>
    <tableColumn id="2" xr3:uid="{CEDB5DEB-C5D7-485B-A9CB-2AC7D603BC7F}" name="Title" dataDxfId="70" totalsRowDxfId="69"/>
    <tableColumn id="3" xr3:uid="{15E6DC5B-E8F9-4DD5-B287-9A48085DE3AA}" name="First Name" dataDxfId="68" totalsRowDxfId="67"/>
    <tableColumn id="4" xr3:uid="{1796433D-A88E-4C68-BD05-01A06E10BC0D}" name="Last Name" dataDxfId="66" totalsRowDxfId="65"/>
    <tableColumn id="25" xr3:uid="{FF6DE63C-C5FB-4F4B-9DED-6418E689090A}" name="Emp_Initial_Code" dataDxfId="64" totalsRowDxfId="63">
      <calculatedColumnFormula>LEFT(EmployeeTable[[#This Row],[First Name]],4)</calculatedColumnFormula>
    </tableColumn>
    <tableColumn id="5" xr3:uid="{55F23F10-5557-4870-B18C-7E748A739947}" name="Email" dataDxfId="62" totalsRowDxfId="61"/>
    <tableColumn id="6" xr3:uid="{95D6C352-1366-40B7-8535-6DA882B73DC5}" name="Phone Extension" dataDxfId="60" totalsRowDxfId="59"/>
    <tableColumn id="7" xr3:uid="{D28ECEA3-1C9F-4D34-A869-2EA3D324E2A4}" name="Department" dataDxfId="58" totalsRowDxfId="57"/>
    <tableColumn id="8" xr3:uid="{29E36540-2744-40E1-83E9-66B1B0C09B3F}" name="Joining Date" dataDxfId="56" totalsRowDxfId="55" dataCellStyle="Normal 2"/>
    <tableColumn id="27" xr3:uid="{5890F5B6-CF54-46D3-8F4F-F3D69EFA270B}" name="Joining Date USA Format" dataDxfId="54" totalsRowDxfId="53" dataCellStyle="Normal 2">
      <calculatedColumnFormula>TEXT(EmployeeTable[[#This Row],[Joining Date]],"MM-DD-YYYY")</calculatedColumnFormula>
    </tableColumn>
    <tableColumn id="9" xr3:uid="{A557D216-B366-49EB-9C90-FA7CFAA21AE8}" name="Salary" dataDxfId="52" totalsRowDxfId="51"/>
    <tableColumn id="10" xr3:uid="{417E9319-3CF0-442C-8A00-CE27E4C039FD}" name="Bonus" dataDxfId="50" totalsRowDxfId="49"/>
    <tableColumn id="11" xr3:uid="{B8E4481E-CE75-4731-AC76-5A5BAE080B2F}" name="Region" dataDxfId="48" totalsRowDxfId="47"/>
    <tableColumn id="12" xr3:uid="{F04BE160-2D77-4ED2-9ADA-9D977616EECA}" name="Performance Rating" dataDxfId="46" totalsRowDxfId="45"/>
    <tableColumn id="13" xr3:uid="{53D0AD97-563D-4F29-BD0F-7E85DF9E9A00}" name="Monthly Sales" dataDxfId="44" totalsRowDxfId="43"/>
    <tableColumn id="14" xr3:uid="{5D8D6E73-BEF2-4EF7-BAFB-F5502132F8B4}" name="Loan Amount" dataDxfId="42" totalsRowDxfId="41"/>
    <tableColumn id="15" xr3:uid="{0ACF3035-40A5-461E-B987-B7A259A8B5D9}" name="Interest Rate %" dataDxfId="40" totalsRowDxfId="39"/>
    <tableColumn id="16" xr3:uid="{DA2DFE18-667A-41A5-90D4-8BFCB4668503}" name="Loan Term (Months)" dataDxfId="38" totalsRowDxfId="37"/>
    <tableColumn id="17" xr3:uid="{FF49AFFC-3E50-4F59-9B50-9F674CE69A6F}" name="Designation" dataDxfId="36" totalsRowDxfId="35"/>
    <tableColumn id="18" xr3:uid="{675C92BF-5615-4C19-AE49-4BB6540CCFF4}" name="Region Code" dataDxfId="34" totalsRowDxfId="33">
      <calculatedColumnFormula>SUBSTITUTE(SUBSTITUTE(SUBSTITUTE(SUBSTITUTE(N2,"North","N"),"East","E"),"South","S"),"West","W")</calculatedColumnFormula>
    </tableColumn>
    <tableColumn id="19" xr3:uid="{3CFA114C-E48B-42D9-AD0F-44E5F88D5740}" name="EM_Code" dataDxfId="32" totalsRowDxfId="31">
      <calculatedColumnFormula>_xlfn.CONCAT(EmployeeTable[[#This Row],[Region Code]],EmployeeTable[[#This Row],[Employee ID]],EmployeeTable[[#This Row],[First Name]],EmployeeTable[[#This Row],[Last Name]])</calculatedColumnFormula>
    </tableColumn>
    <tableColumn id="20" xr3:uid="{32003C5B-2679-4BF3-89A8-2B8FEF56EF93}" name="Promotion Eligibility" dataDxfId="30" totalsRowDxfId="29">
      <calculatedColumnFormula>IF(AND(EmployeeTable[[#This Row],[Performance Rating]]&gt;=4, EmployeeTable[[#This Row],[Bonus]]&gt;=0.1),"Eligible","Not Eligible")</calculatedColumnFormula>
    </tableColumn>
    <tableColumn id="21" xr3:uid="{79D15D0F-03E7-4775-BB9F-DA38C64A8262}" name="Years with Company" dataDxfId="28" totalsRowDxfId="27"/>
    <tableColumn id="22" xr3:uid="{17287380-5024-4DB2-AE88-118891A6EF58}" name="Monthly Loan Payment (PMT) - 20" dataDxfId="26" totalsRowDxfId="25"/>
    <tableColumn id="23" xr3:uid="{22534D13-E957-4900-ADE1-57F1A68A2F6A}" name="Departments for Top Performers" totalsRowFunction="count" dataDxfId="24" totalsRowDxfId="23"/>
    <tableColumn id="26" xr3:uid="{8DCFC629-8B4A-428B-BE71-C207A40499B2}" name="Column1" totalsRowDxfId="22"/>
  </tableColumns>
  <tableStyleInfo name="TableStyleMedium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4E1B69-C148-4D66-97D1-212CCE8636EF}" name="EmployeeTable3" displayName="EmployeeTable3" ref="A1:AB101" headerRowDxfId="132" dataDxfId="131" totalsRowDxfId="129" tableBorderDxfId="130">
  <autoFilter ref="A1:AB101" xr:uid="{DCB3B668-1616-4DB0-89A7-C9F4273334C9}"/>
  <tableColumns count="28">
    <tableColumn id="1" xr3:uid="{012A9132-7CB2-40F5-A4E8-2FF0B320A78E}" name="Employee ID" totalsRowLabel="Total" dataDxfId="128" totalsRowDxfId="127"/>
    <tableColumn id="24" xr3:uid="{83DFB981-8936-496A-BFA0-8ADF5F48C6E0}" name="Email IDs" dataDxfId="126" totalsRowDxfId="125">
      <calculatedColumnFormula>LOWER(_xlfn.CONCAT(EmployeeTable3[[#This Row],[First Name]],".",EmployeeTable3[[#This Row],[Last Name]],"@company.com"))</calculatedColumnFormula>
    </tableColumn>
    <tableColumn id="2" xr3:uid="{42BB08F9-0728-43A6-B7EA-D4F7715BA8F7}" name="Title" dataDxfId="124" totalsRowDxfId="123"/>
    <tableColumn id="3" xr3:uid="{94A68DF0-D7C3-49FA-85A2-BDADD43DD482}" name="First Name" dataDxfId="122" totalsRowDxfId="121"/>
    <tableColumn id="4" xr3:uid="{F92BA529-16C4-4F1D-8DE6-6E66CED110E0}" name="Last Name" dataDxfId="120" totalsRowDxfId="119"/>
    <tableColumn id="25" xr3:uid="{6F3D6988-916F-40E5-AC43-562C5062B0F8}" name="Emp_Initial_Code" dataDxfId="118" totalsRowDxfId="117">
      <calculatedColumnFormula>LEFT(EmployeeTable3[[#This Row],[First Name]],4)</calculatedColumnFormula>
    </tableColumn>
    <tableColumn id="5" xr3:uid="{48EF2E9A-474E-43CB-8CFA-C0CAE408A882}" name="Email" dataDxfId="116" totalsRowDxfId="115"/>
    <tableColumn id="6" xr3:uid="{372ADAA2-C72B-4ECF-927E-CF7FC60A507C}" name="Phone Extension" dataDxfId="114" totalsRowDxfId="113"/>
    <tableColumn id="28" xr3:uid="{3F130DB4-AE1D-4186-9B94-16692EF9B635}" name="Phone Extension Updated" dataDxfId="112" totalsRowDxfId="111">
      <calculatedColumnFormula>REPLACE(H2,1,3,"323")</calculatedColumnFormula>
    </tableColumn>
    <tableColumn id="7" xr3:uid="{77C30449-1A92-4EAF-AB34-2BEDAB0FB120}" name="Department" dataDxfId="110" totalsRowDxfId="109"/>
    <tableColumn id="8" xr3:uid="{B6B5B05E-78F3-4717-B477-42BDD7EA965A}" name="Joining Date" dataDxfId="108" totalsRowDxfId="107" dataCellStyle="Normal 2" totalsRowCellStyle="Normal 2"/>
    <tableColumn id="27" xr3:uid="{370EFE04-BC82-4964-A721-09FDDD632DE9}" name="Joining Date USA Format" dataDxfId="106" totalsRowDxfId="105" dataCellStyle="Normal 2" totalsRowCellStyle="Normal 2">
      <calculatedColumnFormula>TEXT(EmployeeTable3[[#This Row],[Joining Date]],"MM-DD-YYYY")</calculatedColumnFormula>
    </tableColumn>
    <tableColumn id="9" xr3:uid="{92F1D353-461B-409D-BBE8-4BBE4292E73B}" name="Salary" totalsRowFunction="sum" dataDxfId="104" totalsRowDxfId="103"/>
    <tableColumn id="10" xr3:uid="{82C6A6D4-644A-4F9D-BB03-FC6C0C1074D8}" name="Bonus" dataDxfId="102" totalsRowDxfId="101"/>
    <tableColumn id="11" xr3:uid="{20F3AE9F-BDA7-4FEB-BC06-CA2910370597}" name="Region" dataDxfId="100" totalsRowDxfId="99"/>
    <tableColumn id="12" xr3:uid="{A15B4403-E64A-47E7-8C1D-2EB69D147F54}" name="Performance Rating" dataDxfId="98" totalsRowDxfId="97"/>
    <tableColumn id="31" xr3:uid="{35261DB6-687F-4133-A758-67D60CEC25E0}" name="Performance Percentile" dataDxfId="96">
      <calculatedColumnFormula>IF(EmployeeTable3[[#This Row],[Performance Rating]]&gt;=_xlfn.PERCENTILE.INC(EmployeeTable3[Performance Rating],0.9),"Top 10%","Not Top 10%")</calculatedColumnFormula>
    </tableColumn>
    <tableColumn id="13" xr3:uid="{FC71C399-046E-4C38-B9FE-FE79328E5F25}" name="Monthly Sales" dataDxfId="95"/>
    <tableColumn id="14" xr3:uid="{27967E68-AE9C-4997-B52E-5C3537559688}" name="Loan Amount" dataDxfId="94" totalsRowDxfId="93"/>
    <tableColumn id="15" xr3:uid="{30EA44BC-7D3C-4384-A3DD-2D47A28437B3}" name="Interest Rate %" dataDxfId="92" totalsRowDxfId="91"/>
    <tableColumn id="16" xr3:uid="{26A68A72-BB76-47E1-AC15-1BF76C376C58}" name="Loan Term (Months)" dataDxfId="90" totalsRowDxfId="89"/>
    <tableColumn id="30" xr3:uid="{D7D519B3-69B8-4A0F-B0B3-1E4126A18D12}" name="NPV" dataDxfId="88" totalsRowDxfId="87">
      <calculatedColumnFormula>NPV(0.05,EmployeeTable3[[#This Row],[Monthly Sales]])</calculatedColumnFormula>
    </tableColumn>
    <tableColumn id="17" xr3:uid="{3DB70B22-2A68-452A-B568-97C55D1B8C33}" name="Designation" dataDxfId="86" totalsRowDxfId="85"/>
    <tableColumn id="18" xr3:uid="{C0BA1F58-942D-4925-A38F-58745C252937}" name="Region Code" dataDxfId="84" totalsRowDxfId="83">
      <calculatedColumnFormula>SUBSTITUTE(SUBSTITUTE(SUBSTITUTE(SUBSTITUTE(O2,"North","N"),"East","E"),"South","S"),"West","W")</calculatedColumnFormula>
    </tableColumn>
    <tableColumn id="19" xr3:uid="{275608E9-A791-4E7F-AB8D-A55CA0138D3D}" name="EM_Code" dataDxfId="82" totalsRowDxfId="81">
      <calculatedColumnFormula>_xlfn.CONCAT(EmployeeTable3[[#This Row],[Region Code]],EmployeeTable3[[#This Row],[Employee ID]],EmployeeTable3[[#This Row],[First Name]],EmployeeTable3[[#This Row],[Last Name]])</calculatedColumnFormula>
    </tableColumn>
    <tableColumn id="20" xr3:uid="{5E6D04EA-FEE5-4F06-8EB7-44275D1CFA3E}" name="Promotion Eligibility" dataDxfId="80" totalsRowDxfId="79">
      <calculatedColumnFormula>IF(AND(EmployeeTable3[[#This Row],[Performance Rating]]&gt;=4, EmployeeTable3[[#This Row],[Bonus]]&gt;=0.1),"Eligible","Not Eligible")</calculatedColumnFormula>
    </tableColumn>
    <tableColumn id="21" xr3:uid="{AAF5D7F5-D0BA-4419-8C1D-D2E3EE693CC1}" name="Years with Company" dataDxfId="78" totalsRowDxfId="77">
      <calculatedColumnFormula>DATEDIF(K2,TODAY(),"Y")</calculatedColumnFormula>
    </tableColumn>
    <tableColumn id="22" xr3:uid="{87113C9D-97ED-41EC-A99B-74FDFDE15E1C}" name="Monthly Loan Payment (PMT) - 20" dataDxfId="76">
      <calculatedColumnFormula>PMT((EmployeeTable3[[#This Row],[Interest Rate %]]/100)/12,EmployeeTable3[[#This Row],[Loan Term (Months)]],-EmployeeTable3[[#This Row],[Loan Amount]])</calculatedColumnFormula>
    </tableColumn>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2DC9-5139-42CB-980B-02E13A2C28A3}">
  <dimension ref="A1:AA116"/>
  <sheetViews>
    <sheetView topLeftCell="N1" workbookViewId="0">
      <selection activeCell="R28" sqref="R28"/>
    </sheetView>
  </sheetViews>
  <sheetFormatPr defaultRowHeight="15" x14ac:dyDescent="0.25"/>
  <cols>
    <col min="1" max="1" width="14.28515625" customWidth="1"/>
    <col min="2" max="2" width="28.28515625" style="11" bestFit="1" customWidth="1"/>
    <col min="3" max="3" width="7.140625" customWidth="1"/>
    <col min="4" max="4" width="12.7109375" customWidth="1"/>
    <col min="5" max="5" width="12.28515625" customWidth="1"/>
    <col min="6" max="6" width="21.28515625" style="11" bestFit="1" customWidth="1"/>
    <col min="8" max="8" width="18" customWidth="1"/>
    <col min="9" max="9" width="13.85546875" customWidth="1"/>
    <col min="10" max="10" width="14.140625" customWidth="1"/>
    <col min="11" max="11" width="14.140625" style="10" customWidth="1"/>
    <col min="12" max="12" width="12.5703125" bestFit="1" customWidth="1"/>
    <col min="13" max="13" width="8.5703125" customWidth="1"/>
    <col min="14" max="14" width="9.28515625" customWidth="1"/>
    <col min="15" max="15" width="20.5703125" customWidth="1"/>
    <col min="16" max="16" width="15.7109375" customWidth="1"/>
    <col min="17" max="17" width="14.85546875" customWidth="1"/>
    <col min="18" max="18" width="16.5703125" customWidth="1"/>
    <col min="19" max="19" width="21" customWidth="1"/>
    <col min="20" max="20" width="13.85546875" bestFit="1" customWidth="1"/>
    <col min="21" max="21" width="14.28515625" style="10" customWidth="1"/>
    <col min="22" max="22" width="17.5703125" bestFit="1" customWidth="1"/>
    <col min="23" max="23" width="21.28515625" style="30" customWidth="1"/>
    <col min="24" max="24" width="21.140625" customWidth="1"/>
    <col min="25" max="25" width="33" customWidth="1"/>
    <col min="26" max="26" width="31.85546875" customWidth="1"/>
  </cols>
  <sheetData>
    <row r="1" spans="1:27" s="19" customFormat="1" ht="33.75" customHeight="1" x14ac:dyDescent="0.25">
      <c r="A1" s="20" t="s">
        <v>0</v>
      </c>
      <c r="B1" s="25" t="s">
        <v>204</v>
      </c>
      <c r="C1" s="14" t="s">
        <v>1</v>
      </c>
      <c r="D1" s="14" t="s">
        <v>2</v>
      </c>
      <c r="E1" s="14" t="s">
        <v>3</v>
      </c>
      <c r="F1" s="22" t="s">
        <v>205</v>
      </c>
      <c r="G1" s="14" t="s">
        <v>4</v>
      </c>
      <c r="H1" s="14" t="s">
        <v>5</v>
      </c>
      <c r="I1" s="15" t="s">
        <v>6</v>
      </c>
      <c r="J1" s="16" t="s">
        <v>7</v>
      </c>
      <c r="K1" s="27" t="s">
        <v>206</v>
      </c>
      <c r="L1" s="13" t="s">
        <v>8</v>
      </c>
      <c r="M1" s="14" t="s">
        <v>9</v>
      </c>
      <c r="N1" s="14" t="s">
        <v>10</v>
      </c>
      <c r="O1" s="17" t="s">
        <v>11</v>
      </c>
      <c r="P1" s="14" t="s">
        <v>12</v>
      </c>
      <c r="Q1" s="14" t="s">
        <v>13</v>
      </c>
      <c r="R1" s="17" t="s">
        <v>14</v>
      </c>
      <c r="S1" s="17" t="s">
        <v>15</v>
      </c>
      <c r="T1" s="14" t="s">
        <v>16</v>
      </c>
      <c r="U1" s="34" t="s">
        <v>17</v>
      </c>
      <c r="V1" s="14" t="s">
        <v>18</v>
      </c>
      <c r="W1" s="32" t="s">
        <v>19</v>
      </c>
      <c r="X1" s="14" t="s">
        <v>20</v>
      </c>
      <c r="Y1" s="17" t="s">
        <v>21</v>
      </c>
      <c r="Z1" s="18" t="s">
        <v>22</v>
      </c>
      <c r="AA1" s="21" t="s">
        <v>203</v>
      </c>
    </row>
    <row r="2" spans="1:27" ht="17.25" x14ac:dyDescent="0.3">
      <c r="A2" s="12">
        <v>1</v>
      </c>
      <c r="B2" s="26" t="str">
        <f>LOWER(_xlfn.CONCAT(EmployeeTable[[#This Row],[First Name]],".",EmployeeTable[[#This Row],[Last Name]],"@company.com"))</f>
        <v>bob.clark@company.com</v>
      </c>
      <c r="C2" s="1" t="s">
        <v>23</v>
      </c>
      <c r="D2" s="1" t="s">
        <v>24</v>
      </c>
      <c r="E2" s="1" t="s">
        <v>25</v>
      </c>
      <c r="F2" s="23" t="str">
        <f>LEFT(EmployeeTable[[#This Row],[First Name]],4)</f>
        <v>Bob</v>
      </c>
      <c r="G2" s="1"/>
      <c r="H2" s="1" t="s">
        <v>26</v>
      </c>
      <c r="I2" s="5" t="s">
        <v>27</v>
      </c>
      <c r="J2" s="7" t="s">
        <v>28</v>
      </c>
      <c r="K2" s="28" t="str">
        <f>TEXT(EmployeeTable[[#This Row],[Joining Date]],"MM-DD-YYYY")</f>
        <v>06-19-2021</v>
      </c>
      <c r="L2" s="6">
        <v>41134</v>
      </c>
      <c r="M2" s="1" t="s">
        <v>29</v>
      </c>
      <c r="N2" s="1" t="s">
        <v>30</v>
      </c>
      <c r="O2" s="1">
        <v>4.7</v>
      </c>
      <c r="P2" s="2">
        <v>2161</v>
      </c>
      <c r="Q2" s="2">
        <v>72003</v>
      </c>
      <c r="R2" s="1">
        <v>7.52</v>
      </c>
      <c r="S2" s="1">
        <v>45</v>
      </c>
      <c r="T2" s="1" t="s">
        <v>31</v>
      </c>
      <c r="U2" s="35" t="str">
        <f t="shared" ref="U2:U33" si="0">SUBSTITUTE(SUBSTITUTE(SUBSTITUTE(SUBSTITUTE(N2,"North","N"),"East","E"),"South","S"),"West","W")</f>
        <v>S</v>
      </c>
      <c r="V2" s="1" t="str">
        <f>_xlfn.CONCAT(EmployeeTable[[#This Row],[Region Code]],EmployeeTable[[#This Row],[Employee ID]],EmployeeTable[[#This Row],[First Name]],EmployeeTable[[#This Row],[Last Name]])</f>
        <v>S1BobClark</v>
      </c>
      <c r="W2" s="31" t="str">
        <f>IF(AND(EmployeeTable[[#This Row],[Performance Rating]]&gt;=4, EmployeeTable[[#This Row],[Bonus]]&gt;=0.1),"Eligible","Not Eligible")</f>
        <v>Eligible</v>
      </c>
      <c r="X2" s="1"/>
      <c r="Y2" s="3"/>
      <c r="Z2" s="5"/>
    </row>
    <row r="3" spans="1:27" ht="17.25" x14ac:dyDescent="0.3">
      <c r="A3" s="12">
        <v>2</v>
      </c>
      <c r="B3" s="26" t="str">
        <f>LOWER(_xlfn.CONCAT(EmployeeTable[[#This Row],[First Name]],".",EmployeeTable[[#This Row],[Last Name]],"@company.com"))</f>
        <v>david.miller@company.com</v>
      </c>
      <c r="C3" s="1" t="s">
        <v>23</v>
      </c>
      <c r="D3" s="1" t="s">
        <v>32</v>
      </c>
      <c r="E3" s="1" t="s">
        <v>33</v>
      </c>
      <c r="F3" s="23" t="str">
        <f>LEFT(EmployeeTable[[#This Row],[First Name]],4)</f>
        <v>Davi</v>
      </c>
      <c r="G3" s="1"/>
      <c r="H3" s="1" t="s">
        <v>34</v>
      </c>
      <c r="I3" s="5" t="s">
        <v>35</v>
      </c>
      <c r="J3" s="8" t="s">
        <v>36</v>
      </c>
      <c r="K3" s="29" t="str">
        <f>TEXT(EmployeeTable[[#This Row],[Joining Date]],"MM-DD-YYYY")</f>
        <v>07-29-2020</v>
      </c>
      <c r="L3" s="6">
        <v>117371</v>
      </c>
      <c r="M3" s="1" t="s">
        <v>37</v>
      </c>
      <c r="N3" s="1" t="s">
        <v>38</v>
      </c>
      <c r="O3" s="1">
        <v>3</v>
      </c>
      <c r="P3" s="2">
        <v>2189</v>
      </c>
      <c r="Q3" s="2">
        <v>52557</v>
      </c>
      <c r="R3" s="1">
        <v>8.93</v>
      </c>
      <c r="S3" s="1">
        <v>17</v>
      </c>
      <c r="T3" s="1" t="s">
        <v>39</v>
      </c>
      <c r="U3" s="35" t="str">
        <f t="shared" si="0"/>
        <v>W</v>
      </c>
      <c r="V3" s="1" t="str">
        <f>_xlfn.CONCAT(EmployeeTable[[#This Row],[Region Code]],EmployeeTable[[#This Row],[Employee ID]],EmployeeTable[[#This Row],[First Name]],EmployeeTable[[#This Row],[Last Name]])</f>
        <v>W2DavidMiller</v>
      </c>
      <c r="W3" s="31" t="str">
        <f>IF(AND(EmployeeTable[[#This Row],[Performance Rating]]&gt;=4, EmployeeTable[[#This Row],[Bonus]]&gt;=0.1),"Eligible","Not Eligible")</f>
        <v>Not Eligible</v>
      </c>
      <c r="X3" s="1"/>
      <c r="Y3" s="3"/>
      <c r="Z3" s="5"/>
    </row>
    <row r="4" spans="1:27" ht="17.25" x14ac:dyDescent="0.3">
      <c r="A4" s="12">
        <v>3</v>
      </c>
      <c r="B4" s="26" t="str">
        <f>LOWER(_xlfn.CONCAT(EmployeeTable[[#This Row],[First Name]],".",EmployeeTable[[#This Row],[Last Name]],"@company.com"))</f>
        <v>bob.lee@company.com</v>
      </c>
      <c r="C4" s="1" t="s">
        <v>40</v>
      </c>
      <c r="D4" s="1" t="s">
        <v>24</v>
      </c>
      <c r="E4" s="1" t="s">
        <v>41</v>
      </c>
      <c r="F4" s="23" t="str">
        <f>LEFT(EmployeeTable[[#This Row],[First Name]],4)</f>
        <v>Bob</v>
      </c>
      <c r="G4" s="1"/>
      <c r="H4" s="1" t="s">
        <v>42</v>
      </c>
      <c r="I4" s="5" t="s">
        <v>43</v>
      </c>
      <c r="J4" s="7" t="s">
        <v>44</v>
      </c>
      <c r="K4" s="28" t="str">
        <f>TEXT(EmployeeTable[[#This Row],[Joining Date]],"MM-DD-YYYY")</f>
        <v>08-28-2020</v>
      </c>
      <c r="L4" s="6">
        <v>64075</v>
      </c>
      <c r="M4" s="1" t="s">
        <v>45</v>
      </c>
      <c r="N4" s="1" t="s">
        <v>38</v>
      </c>
      <c r="O4" s="1">
        <v>3.6</v>
      </c>
      <c r="P4" s="2">
        <v>2391</v>
      </c>
      <c r="Q4" s="2">
        <v>47157</v>
      </c>
      <c r="R4" s="1">
        <v>5.61</v>
      </c>
      <c r="S4" s="1">
        <v>41</v>
      </c>
      <c r="T4" s="1" t="s">
        <v>46</v>
      </c>
      <c r="U4" s="35" t="str">
        <f t="shared" si="0"/>
        <v>W</v>
      </c>
      <c r="V4" s="1" t="str">
        <f>_xlfn.CONCAT(EmployeeTable[[#This Row],[Region Code]],EmployeeTable[[#This Row],[Employee ID]],EmployeeTable[[#This Row],[First Name]],EmployeeTable[[#This Row],[Last Name]])</f>
        <v>W3BobLee</v>
      </c>
      <c r="W4" s="31" t="str">
        <f>IF(AND(EmployeeTable[[#This Row],[Performance Rating]]&gt;=4, EmployeeTable[[#This Row],[Bonus]]&gt;=0.1),"Eligible","Not Eligible")</f>
        <v>Not Eligible</v>
      </c>
      <c r="X4" s="1"/>
      <c r="Y4" s="3"/>
      <c r="Z4" s="5"/>
    </row>
    <row r="5" spans="1:27" ht="17.25" x14ac:dyDescent="0.3">
      <c r="A5" s="12">
        <v>4</v>
      </c>
      <c r="B5" s="26" t="str">
        <f>LOWER(_xlfn.CONCAT(EmployeeTable[[#This Row],[First Name]],".",EmployeeTable[[#This Row],[Last Name]],"@company.com"))</f>
        <v>henry.green@company.com</v>
      </c>
      <c r="C5" s="1" t="s">
        <v>47</v>
      </c>
      <c r="D5" s="1" t="s">
        <v>48</v>
      </c>
      <c r="E5" s="1" t="s">
        <v>49</v>
      </c>
      <c r="F5" s="23" t="str">
        <f>LEFT(EmployeeTable[[#This Row],[First Name]],4)</f>
        <v>Henr</v>
      </c>
      <c r="G5" s="1"/>
      <c r="H5" s="1" t="s">
        <v>50</v>
      </c>
      <c r="I5" s="5" t="s">
        <v>51</v>
      </c>
      <c r="J5" s="8" t="s">
        <v>52</v>
      </c>
      <c r="K5" s="29" t="str">
        <f>TEXT(EmployeeTable[[#This Row],[Joining Date]],"MM-DD-YYYY")</f>
        <v>12-24-2020</v>
      </c>
      <c r="L5" s="6">
        <v>59660</v>
      </c>
      <c r="M5" s="1" t="s">
        <v>53</v>
      </c>
      <c r="N5" s="1" t="s">
        <v>54</v>
      </c>
      <c r="O5" s="1">
        <v>4.7</v>
      </c>
      <c r="P5" s="2">
        <v>2502</v>
      </c>
      <c r="Q5" s="2">
        <v>12911</v>
      </c>
      <c r="R5" s="1">
        <v>3.57</v>
      </c>
      <c r="S5" s="1">
        <v>42</v>
      </c>
      <c r="T5" s="1" t="s">
        <v>31</v>
      </c>
      <c r="U5" s="35" t="str">
        <f t="shared" si="0"/>
        <v>N</v>
      </c>
      <c r="V5" s="1" t="str">
        <f>_xlfn.CONCAT(EmployeeTable[[#This Row],[Region Code]],EmployeeTable[[#This Row],[Employee ID]],EmployeeTable[[#This Row],[First Name]],EmployeeTable[[#This Row],[Last Name]])</f>
        <v>N4HenryGreen</v>
      </c>
      <c r="W5" s="31" t="str">
        <f>IF(AND(EmployeeTable[[#This Row],[Performance Rating]]&gt;=4, EmployeeTable[[#This Row],[Bonus]]&gt;=0.1),"Eligible","Not Eligible")</f>
        <v>Eligible</v>
      </c>
      <c r="X5" s="1"/>
      <c r="Y5" s="3"/>
      <c r="Z5" s="5"/>
    </row>
    <row r="6" spans="1:27" ht="17.25" x14ac:dyDescent="0.3">
      <c r="A6" s="12">
        <v>5</v>
      </c>
      <c r="B6" s="26" t="str">
        <f>LOWER(_xlfn.CONCAT(EmployeeTable[[#This Row],[First Name]],".",EmployeeTable[[#This Row],[Last Name]],"@company.com"))</f>
        <v>frank.brown@company.com</v>
      </c>
      <c r="C6" s="1" t="s">
        <v>55</v>
      </c>
      <c r="D6" s="1" t="s">
        <v>56</v>
      </c>
      <c r="E6" s="1" t="s">
        <v>57</v>
      </c>
      <c r="F6" s="23" t="str">
        <f>LEFT(EmployeeTable[[#This Row],[First Name]],4)</f>
        <v>Fran</v>
      </c>
      <c r="G6" s="1"/>
      <c r="H6" s="1" t="s">
        <v>58</v>
      </c>
      <c r="I6" s="5" t="s">
        <v>59</v>
      </c>
      <c r="J6" s="7" t="s">
        <v>60</v>
      </c>
      <c r="K6" s="28" t="str">
        <f>TEXT(EmployeeTable[[#This Row],[Joining Date]],"MM-DD-YYYY")</f>
        <v>03-18-2016</v>
      </c>
      <c r="L6" s="6">
        <v>102025</v>
      </c>
      <c r="M6" s="1" t="s">
        <v>61</v>
      </c>
      <c r="N6" s="1" t="s">
        <v>62</v>
      </c>
      <c r="O6" s="1">
        <v>3.4</v>
      </c>
      <c r="P6" s="2">
        <v>2769</v>
      </c>
      <c r="Q6" s="2">
        <v>77214</v>
      </c>
      <c r="R6" s="1">
        <v>6.62</v>
      </c>
      <c r="S6" s="1">
        <v>45</v>
      </c>
      <c r="T6" s="1" t="s">
        <v>63</v>
      </c>
      <c r="U6" s="35" t="str">
        <f t="shared" si="0"/>
        <v>E</v>
      </c>
      <c r="V6" s="1" t="str">
        <f>_xlfn.CONCAT(EmployeeTable[[#This Row],[Region Code]],EmployeeTable[[#This Row],[Employee ID]],EmployeeTable[[#This Row],[First Name]],EmployeeTable[[#This Row],[Last Name]])</f>
        <v>E5FrankBrown</v>
      </c>
      <c r="W6" s="31" t="str">
        <f>IF(AND(EmployeeTable[[#This Row],[Performance Rating]]&gt;=4, EmployeeTable[[#This Row],[Bonus]]&gt;=0.1),"Eligible","Not Eligible")</f>
        <v>Not Eligible</v>
      </c>
      <c r="X6" s="1"/>
      <c r="Y6" s="3"/>
      <c r="Z6" s="5"/>
    </row>
    <row r="7" spans="1:27" ht="17.25" x14ac:dyDescent="0.3">
      <c r="A7" s="12">
        <v>6</v>
      </c>
      <c r="B7" s="26" t="str">
        <f>LOWER(_xlfn.CONCAT(EmployeeTable[[#This Row],[First Name]],".",EmployeeTable[[#This Row],[Last Name]],"@company.com"))</f>
        <v>grace.brown@company.com</v>
      </c>
      <c r="C7" s="1" t="s">
        <v>40</v>
      </c>
      <c r="D7" s="1" t="s">
        <v>64</v>
      </c>
      <c r="E7" s="1" t="s">
        <v>57</v>
      </c>
      <c r="F7" s="23" t="str">
        <f>LEFT(EmployeeTable[[#This Row],[First Name]],4)</f>
        <v>Grac</v>
      </c>
      <c r="G7" s="1"/>
      <c r="H7" s="1" t="s">
        <v>50</v>
      </c>
      <c r="I7" s="5" t="s">
        <v>51</v>
      </c>
      <c r="J7" s="8" t="s">
        <v>65</v>
      </c>
      <c r="K7" s="29" t="str">
        <f>TEXT(EmployeeTable[[#This Row],[Joining Date]],"MM-DD-YYYY")</f>
        <v>09-23-2015</v>
      </c>
      <c r="L7" s="6">
        <v>118188</v>
      </c>
      <c r="M7" s="1" t="s">
        <v>53</v>
      </c>
      <c r="N7" s="1" t="s">
        <v>54</v>
      </c>
      <c r="O7" s="1">
        <v>3.5</v>
      </c>
      <c r="P7" s="2">
        <v>2860</v>
      </c>
      <c r="Q7" s="2">
        <v>10206</v>
      </c>
      <c r="R7" s="1">
        <v>9.58</v>
      </c>
      <c r="S7" s="1">
        <v>47</v>
      </c>
      <c r="T7" s="1" t="s">
        <v>31</v>
      </c>
      <c r="U7" s="35" t="str">
        <f t="shared" si="0"/>
        <v>N</v>
      </c>
      <c r="V7" s="1" t="str">
        <f>_xlfn.CONCAT(EmployeeTable[[#This Row],[Region Code]],EmployeeTable[[#This Row],[Employee ID]],EmployeeTable[[#This Row],[First Name]],EmployeeTable[[#This Row],[Last Name]])</f>
        <v>N6GraceBrown</v>
      </c>
      <c r="W7" s="31" t="str">
        <f>IF(AND(EmployeeTable[[#This Row],[Performance Rating]]&gt;=4, EmployeeTable[[#This Row],[Bonus]]&gt;=0.1),"Eligible","Not Eligible")</f>
        <v>Not Eligible</v>
      </c>
      <c r="X7" s="1"/>
      <c r="Y7" s="3"/>
      <c r="Z7" s="5"/>
    </row>
    <row r="8" spans="1:27" ht="17.25" x14ac:dyDescent="0.3">
      <c r="A8" s="12">
        <v>7</v>
      </c>
      <c r="B8" s="26" t="str">
        <f>LOWER(_xlfn.CONCAT(EmployeeTable[[#This Row],[First Name]],".",EmployeeTable[[#This Row],[Last Name]],"@company.com"))</f>
        <v>carol.green@company.com</v>
      </c>
      <c r="C8" s="1" t="s">
        <v>47</v>
      </c>
      <c r="D8" s="1" t="s">
        <v>66</v>
      </c>
      <c r="E8" s="1" t="s">
        <v>49</v>
      </c>
      <c r="F8" s="23" t="str">
        <f>LEFT(EmployeeTable[[#This Row],[First Name]],4)</f>
        <v>Caro</v>
      </c>
      <c r="G8" s="1"/>
      <c r="H8" s="1" t="s">
        <v>34</v>
      </c>
      <c r="I8" s="5" t="s">
        <v>35</v>
      </c>
      <c r="J8" s="7" t="s">
        <v>67</v>
      </c>
      <c r="K8" s="28" t="str">
        <f>TEXT(EmployeeTable[[#This Row],[Joining Date]],"MM-DD-YYYY")</f>
        <v>02-21-2021</v>
      </c>
      <c r="L8" s="6">
        <v>52768</v>
      </c>
      <c r="M8" s="1" t="s">
        <v>68</v>
      </c>
      <c r="N8" s="1" t="s">
        <v>62</v>
      </c>
      <c r="O8" s="1">
        <v>4</v>
      </c>
      <c r="P8" s="2">
        <v>2995</v>
      </c>
      <c r="Q8" s="2">
        <v>62733</v>
      </c>
      <c r="R8" s="1">
        <v>9.0500000000000007</v>
      </c>
      <c r="S8" s="1">
        <v>59</v>
      </c>
      <c r="T8" s="1" t="s">
        <v>31</v>
      </c>
      <c r="U8" s="35" t="str">
        <f t="shared" si="0"/>
        <v>E</v>
      </c>
      <c r="V8" s="1" t="str">
        <f>_xlfn.CONCAT(EmployeeTable[[#This Row],[Region Code]],EmployeeTable[[#This Row],[Employee ID]],EmployeeTable[[#This Row],[First Name]],EmployeeTable[[#This Row],[Last Name]])</f>
        <v>E7CarolGreen</v>
      </c>
      <c r="W8" s="31" t="str">
        <f>IF(AND(EmployeeTable[[#This Row],[Performance Rating]]&gt;=4, EmployeeTable[[#This Row],[Bonus]]&gt;=0.1),"Eligible","Not Eligible")</f>
        <v>Eligible</v>
      </c>
      <c r="X8" s="1"/>
      <c r="Y8" s="3"/>
      <c r="Z8" s="5"/>
    </row>
    <row r="9" spans="1:27" ht="17.25" x14ac:dyDescent="0.3">
      <c r="A9" s="12">
        <v>8</v>
      </c>
      <c r="B9" s="26" t="str">
        <f>LOWER(_xlfn.CONCAT(EmployeeTable[[#This Row],[First Name]],".",EmployeeTable[[#This Row],[Last Name]],"@company.com"))</f>
        <v>alice.smith@company.com</v>
      </c>
      <c r="C9" s="1" t="s">
        <v>69</v>
      </c>
      <c r="D9" s="1" t="s">
        <v>70</v>
      </c>
      <c r="E9" s="1" t="s">
        <v>71</v>
      </c>
      <c r="F9" s="23" t="str">
        <f>LEFT(EmployeeTable[[#This Row],[First Name]],4)</f>
        <v>Alic</v>
      </c>
      <c r="G9" s="1"/>
      <c r="H9" s="1" t="s">
        <v>26</v>
      </c>
      <c r="I9" s="5" t="s">
        <v>27</v>
      </c>
      <c r="J9" s="8" t="s">
        <v>72</v>
      </c>
      <c r="K9" s="29" t="str">
        <f>TEXT(EmployeeTable[[#This Row],[Joining Date]],"MM-DD-YYYY")</f>
        <v>02-22-2021</v>
      </c>
      <c r="L9" s="6">
        <v>77780</v>
      </c>
      <c r="M9" s="1" t="s">
        <v>37</v>
      </c>
      <c r="N9" s="1" t="s">
        <v>30</v>
      </c>
      <c r="O9" s="1">
        <v>3.5</v>
      </c>
      <c r="P9" s="2">
        <v>3016</v>
      </c>
      <c r="Q9" s="2">
        <v>33664</v>
      </c>
      <c r="R9" s="1">
        <v>7</v>
      </c>
      <c r="S9" s="1">
        <v>56</v>
      </c>
      <c r="T9" s="1" t="s">
        <v>63</v>
      </c>
      <c r="U9" s="35" t="str">
        <f t="shared" si="0"/>
        <v>S</v>
      </c>
      <c r="V9" s="1" t="str">
        <f>_xlfn.CONCAT(EmployeeTable[[#This Row],[Region Code]],EmployeeTable[[#This Row],[Employee ID]],EmployeeTable[[#This Row],[First Name]],EmployeeTable[[#This Row],[Last Name]])</f>
        <v>S8AliceSmith</v>
      </c>
      <c r="W9" s="31" t="str">
        <f>IF(AND(EmployeeTable[[#This Row],[Performance Rating]]&gt;=4, EmployeeTable[[#This Row],[Bonus]]&gt;=0.1),"Eligible","Not Eligible")</f>
        <v>Not Eligible</v>
      </c>
      <c r="X9" s="1"/>
      <c r="Y9" s="3"/>
      <c r="Z9" s="5"/>
    </row>
    <row r="10" spans="1:27" ht="17.25" x14ac:dyDescent="0.3">
      <c r="A10" s="12">
        <v>9</v>
      </c>
      <c r="B10" s="26" t="str">
        <f>LOWER(_xlfn.CONCAT(EmployeeTable[[#This Row],[First Name]],".",EmployeeTable[[#This Row],[Last Name]],"@company.com"))</f>
        <v>bob.johnson@company.com</v>
      </c>
      <c r="C10" s="1" t="s">
        <v>23</v>
      </c>
      <c r="D10" s="1" t="s">
        <v>24</v>
      </c>
      <c r="E10" s="1" t="s">
        <v>73</v>
      </c>
      <c r="F10" s="23" t="str">
        <f>LEFT(EmployeeTable[[#This Row],[First Name]],4)</f>
        <v>Bob</v>
      </c>
      <c r="G10" s="1"/>
      <c r="H10" s="1" t="s">
        <v>50</v>
      </c>
      <c r="I10" s="5" t="s">
        <v>51</v>
      </c>
      <c r="J10" s="7" t="s">
        <v>74</v>
      </c>
      <c r="K10" s="28" t="str">
        <f>TEXT(EmployeeTable[[#This Row],[Joining Date]],"MM-DD-YYYY")</f>
        <v>10-29-2017</v>
      </c>
      <c r="L10" s="6">
        <v>53309</v>
      </c>
      <c r="M10" s="1" t="s">
        <v>45</v>
      </c>
      <c r="N10" s="1" t="s">
        <v>30</v>
      </c>
      <c r="O10" s="1">
        <v>4</v>
      </c>
      <c r="P10" s="2">
        <v>3021</v>
      </c>
      <c r="Q10" s="2">
        <v>76199</v>
      </c>
      <c r="R10" s="1">
        <v>6.56</v>
      </c>
      <c r="S10" s="1">
        <v>37</v>
      </c>
      <c r="T10" s="1" t="s">
        <v>75</v>
      </c>
      <c r="U10" s="35" t="str">
        <f t="shared" si="0"/>
        <v>S</v>
      </c>
      <c r="V10" s="1" t="str">
        <f>_xlfn.CONCAT(EmployeeTable[[#This Row],[Region Code]],EmployeeTable[[#This Row],[Employee ID]],EmployeeTable[[#This Row],[First Name]],EmployeeTable[[#This Row],[Last Name]])</f>
        <v>S9BobJohnson</v>
      </c>
      <c r="W10" s="31" t="str">
        <f>IF(AND(EmployeeTable[[#This Row],[Performance Rating]]&gt;=4, EmployeeTable[[#This Row],[Bonus]]&gt;=0.1),"Eligible","Not Eligible")</f>
        <v>Eligible</v>
      </c>
      <c r="X10" s="1"/>
      <c r="Y10" s="3"/>
      <c r="Z10" s="5"/>
    </row>
    <row r="11" spans="1:27" ht="17.25" x14ac:dyDescent="0.3">
      <c r="A11" s="12">
        <v>10</v>
      </c>
      <c r="B11" s="26" t="str">
        <f>LOWER(_xlfn.CONCAT(EmployeeTable[[#This Row],[First Name]],".",EmployeeTable[[#This Row],[Last Name]],"@company.com"))</f>
        <v>alice.davis@company.com</v>
      </c>
      <c r="C11" s="1" t="s">
        <v>55</v>
      </c>
      <c r="D11" s="1" t="s">
        <v>70</v>
      </c>
      <c r="E11" s="1" t="s">
        <v>76</v>
      </c>
      <c r="F11" s="23" t="str">
        <f>LEFT(EmployeeTable[[#This Row],[First Name]],4)</f>
        <v>Alic</v>
      </c>
      <c r="G11" s="1"/>
      <c r="H11" s="1" t="s">
        <v>50</v>
      </c>
      <c r="I11" s="5" t="s">
        <v>51</v>
      </c>
      <c r="J11" s="8" t="s">
        <v>77</v>
      </c>
      <c r="K11" s="29" t="str">
        <f>TEXT(EmployeeTable[[#This Row],[Joining Date]],"MM-DD-YYYY")</f>
        <v>10-30-2017</v>
      </c>
      <c r="L11" s="6">
        <v>118371</v>
      </c>
      <c r="M11" s="1" t="s">
        <v>53</v>
      </c>
      <c r="N11" s="1" t="s">
        <v>54</v>
      </c>
      <c r="O11" s="1">
        <v>4.5</v>
      </c>
      <c r="P11" s="2">
        <v>3267</v>
      </c>
      <c r="Q11" s="2">
        <v>79163</v>
      </c>
      <c r="R11" s="1">
        <v>9.2100000000000009</v>
      </c>
      <c r="S11" s="1">
        <v>48</v>
      </c>
      <c r="T11" s="1" t="s">
        <v>46</v>
      </c>
      <c r="U11" s="35" t="str">
        <f t="shared" si="0"/>
        <v>N</v>
      </c>
      <c r="V11" s="1" t="str">
        <f>_xlfn.CONCAT(EmployeeTable[[#This Row],[Region Code]],EmployeeTable[[#This Row],[Employee ID]],EmployeeTable[[#This Row],[First Name]],EmployeeTable[[#This Row],[Last Name]])</f>
        <v>N10AliceDavis</v>
      </c>
      <c r="W11" s="31" t="str">
        <f>IF(AND(EmployeeTable[[#This Row],[Performance Rating]]&gt;=4, EmployeeTable[[#This Row],[Bonus]]&gt;=0.1),"Eligible","Not Eligible")</f>
        <v>Eligible</v>
      </c>
      <c r="X11" s="1"/>
      <c r="Y11" s="3"/>
      <c r="Z11" s="5"/>
    </row>
    <row r="12" spans="1:27" ht="17.25" x14ac:dyDescent="0.3">
      <c r="A12" s="12">
        <v>11</v>
      </c>
      <c r="B12" s="26" t="str">
        <f>LOWER(_xlfn.CONCAT(EmployeeTable[[#This Row],[First Name]],".",EmployeeTable[[#This Row],[Last Name]],"@company.com"))</f>
        <v>eva.smith@company.com</v>
      </c>
      <c r="C12" s="1" t="s">
        <v>23</v>
      </c>
      <c r="D12" s="1" t="s">
        <v>78</v>
      </c>
      <c r="E12" s="1" t="s">
        <v>71</v>
      </c>
      <c r="F12" s="23" t="str">
        <f>LEFT(EmployeeTable[[#This Row],[First Name]],4)</f>
        <v>Eva</v>
      </c>
      <c r="G12" s="1"/>
      <c r="H12" s="1" t="s">
        <v>79</v>
      </c>
      <c r="I12" s="5" t="s">
        <v>80</v>
      </c>
      <c r="J12" s="7" t="s">
        <v>81</v>
      </c>
      <c r="K12" s="28" t="str">
        <f>TEXT(EmployeeTable[[#This Row],[Joining Date]],"MM-DD-YYYY")</f>
        <v>12-17-2018</v>
      </c>
      <c r="L12" s="6">
        <v>68019</v>
      </c>
      <c r="M12" s="1" t="s">
        <v>82</v>
      </c>
      <c r="N12" s="1" t="s">
        <v>54</v>
      </c>
      <c r="O12" s="1">
        <v>4.9000000000000004</v>
      </c>
      <c r="P12" s="2">
        <v>3585</v>
      </c>
      <c r="Q12" s="2">
        <v>13748</v>
      </c>
      <c r="R12" s="1">
        <v>5.16</v>
      </c>
      <c r="S12" s="1">
        <v>30</v>
      </c>
      <c r="T12" s="1" t="s">
        <v>75</v>
      </c>
      <c r="U12" s="35" t="str">
        <f t="shared" si="0"/>
        <v>N</v>
      </c>
      <c r="V12" s="1" t="str">
        <f>_xlfn.CONCAT(EmployeeTable[[#This Row],[Region Code]],EmployeeTable[[#This Row],[Employee ID]],EmployeeTable[[#This Row],[First Name]],EmployeeTable[[#This Row],[Last Name]])</f>
        <v>N11EvaSmith</v>
      </c>
      <c r="W12" s="31" t="str">
        <f>IF(AND(EmployeeTable[[#This Row],[Performance Rating]]&gt;=4, EmployeeTable[[#This Row],[Bonus]]&gt;=0.1),"Eligible","Not Eligible")</f>
        <v>Eligible</v>
      </c>
      <c r="X12" s="1"/>
      <c r="Y12" s="3"/>
      <c r="Z12" s="5"/>
    </row>
    <row r="13" spans="1:27" ht="17.25" x14ac:dyDescent="0.3">
      <c r="A13" s="12">
        <v>12</v>
      </c>
      <c r="B13" s="26" t="str">
        <f>LOWER(_xlfn.CONCAT(EmployeeTable[[#This Row],[First Name]],".",EmployeeTable[[#This Row],[Last Name]],"@company.com"))</f>
        <v>alice.smith@company.com</v>
      </c>
      <c r="C13" s="1" t="s">
        <v>47</v>
      </c>
      <c r="D13" s="1" t="s">
        <v>70</v>
      </c>
      <c r="E13" s="1" t="s">
        <v>71</v>
      </c>
      <c r="F13" s="23" t="str">
        <f>LEFT(EmployeeTable[[#This Row],[First Name]],4)</f>
        <v>Alic</v>
      </c>
      <c r="G13" s="1"/>
      <c r="H13" s="1" t="s">
        <v>83</v>
      </c>
      <c r="I13" s="5" t="s">
        <v>84</v>
      </c>
      <c r="J13" s="8" t="s">
        <v>85</v>
      </c>
      <c r="K13" s="29" t="str">
        <f>TEXT(EmployeeTable[[#This Row],[Joining Date]],"MM-DD-YYYY")</f>
        <v>10-19-2018</v>
      </c>
      <c r="L13" s="6">
        <v>105865</v>
      </c>
      <c r="M13" s="1" t="s">
        <v>61</v>
      </c>
      <c r="N13" s="1" t="s">
        <v>38</v>
      </c>
      <c r="O13" s="1">
        <v>4.3</v>
      </c>
      <c r="P13" s="2">
        <v>3685</v>
      </c>
      <c r="Q13" s="2">
        <v>66044</v>
      </c>
      <c r="R13" s="1">
        <v>9.8800000000000008</v>
      </c>
      <c r="S13" s="1">
        <v>39</v>
      </c>
      <c r="T13" s="1" t="s">
        <v>46</v>
      </c>
      <c r="U13" s="35" t="str">
        <f t="shared" si="0"/>
        <v>W</v>
      </c>
      <c r="V13" s="1" t="str">
        <f>_xlfn.CONCAT(EmployeeTable[[#This Row],[Region Code]],EmployeeTable[[#This Row],[Employee ID]],EmployeeTable[[#This Row],[First Name]],EmployeeTable[[#This Row],[Last Name]])</f>
        <v>W12AliceSmith</v>
      </c>
      <c r="W13" s="31" t="str">
        <f>IF(AND(EmployeeTable[[#This Row],[Performance Rating]]&gt;=4, EmployeeTable[[#This Row],[Bonus]]&gt;=0.1),"Eligible","Not Eligible")</f>
        <v>Eligible</v>
      </c>
      <c r="X13" s="1"/>
      <c r="Y13" s="3"/>
      <c r="Z13" s="5"/>
    </row>
    <row r="14" spans="1:27" ht="17.25" x14ac:dyDescent="0.3">
      <c r="A14" s="12">
        <v>13</v>
      </c>
      <c r="B14" s="26" t="str">
        <f>LOWER(_xlfn.CONCAT(EmployeeTable[[#This Row],[First Name]],".",EmployeeTable[[#This Row],[Last Name]],"@company.com"))</f>
        <v>eva.miller@company.com</v>
      </c>
      <c r="C14" s="1" t="s">
        <v>47</v>
      </c>
      <c r="D14" s="1" t="s">
        <v>78</v>
      </c>
      <c r="E14" s="1" t="s">
        <v>33</v>
      </c>
      <c r="F14" s="23" t="str">
        <f>LEFT(EmployeeTable[[#This Row],[First Name]],4)</f>
        <v>Eva</v>
      </c>
      <c r="G14" s="1"/>
      <c r="H14" s="1" t="s">
        <v>26</v>
      </c>
      <c r="I14" s="5" t="s">
        <v>27</v>
      </c>
      <c r="J14" s="7" t="s">
        <v>86</v>
      </c>
      <c r="K14" s="28" t="str">
        <f>TEXT(EmployeeTable[[#This Row],[Joining Date]],"MM-DD-YYYY")</f>
        <v>05-05-2017</v>
      </c>
      <c r="L14" s="6">
        <v>93097</v>
      </c>
      <c r="M14" s="1" t="s">
        <v>45</v>
      </c>
      <c r="N14" s="1" t="s">
        <v>62</v>
      </c>
      <c r="O14" s="1">
        <v>4.9000000000000004</v>
      </c>
      <c r="P14" s="2">
        <v>3899</v>
      </c>
      <c r="Q14" s="2">
        <v>12693</v>
      </c>
      <c r="R14" s="1">
        <v>5.83</v>
      </c>
      <c r="S14" s="1">
        <v>54</v>
      </c>
      <c r="T14" s="1" t="s">
        <v>39</v>
      </c>
      <c r="U14" s="35" t="str">
        <f t="shared" si="0"/>
        <v>E</v>
      </c>
      <c r="V14" s="1" t="str">
        <f>_xlfn.CONCAT(EmployeeTable[[#This Row],[Region Code]],EmployeeTable[[#This Row],[Employee ID]],EmployeeTable[[#This Row],[First Name]],EmployeeTable[[#This Row],[Last Name]])</f>
        <v>E13EvaMiller</v>
      </c>
      <c r="W14" s="31" t="str">
        <f>IF(AND(EmployeeTable[[#This Row],[Performance Rating]]&gt;=4, EmployeeTable[[#This Row],[Bonus]]&gt;=0.1),"Eligible","Not Eligible")</f>
        <v>Eligible</v>
      </c>
      <c r="X14" s="1"/>
      <c r="Y14" s="3"/>
      <c r="Z14" s="5"/>
    </row>
    <row r="15" spans="1:27" ht="17.25" x14ac:dyDescent="0.3">
      <c r="A15" s="12">
        <v>14</v>
      </c>
      <c r="B15" s="26" t="str">
        <f>LOWER(_xlfn.CONCAT(EmployeeTable[[#This Row],[First Name]],".",EmployeeTable[[#This Row],[Last Name]],"@company.com"))</f>
        <v>isla.lee@company.com</v>
      </c>
      <c r="C15" s="1" t="s">
        <v>40</v>
      </c>
      <c r="D15" s="1" t="s">
        <v>87</v>
      </c>
      <c r="E15" s="1" t="s">
        <v>41</v>
      </c>
      <c r="F15" s="23" t="str">
        <f>LEFT(EmployeeTable[[#This Row],[First Name]],4)</f>
        <v>Isla</v>
      </c>
      <c r="G15" s="1"/>
      <c r="H15" s="1" t="s">
        <v>42</v>
      </c>
      <c r="I15" s="5" t="s">
        <v>43</v>
      </c>
      <c r="J15" s="8" t="s">
        <v>88</v>
      </c>
      <c r="K15" s="29" t="str">
        <f>TEXT(EmployeeTable[[#This Row],[Joining Date]],"MM-DD-YYYY")</f>
        <v>07-07-2022</v>
      </c>
      <c r="L15" s="6">
        <v>101604</v>
      </c>
      <c r="M15" s="1" t="s">
        <v>89</v>
      </c>
      <c r="N15" s="1" t="s">
        <v>54</v>
      </c>
      <c r="O15" s="1">
        <v>3.6</v>
      </c>
      <c r="P15" s="2">
        <v>4027</v>
      </c>
      <c r="Q15" s="2">
        <v>73734</v>
      </c>
      <c r="R15" s="1">
        <v>3.53</v>
      </c>
      <c r="S15" s="1">
        <v>40</v>
      </c>
      <c r="T15" s="1" t="s">
        <v>31</v>
      </c>
      <c r="U15" s="35" t="str">
        <f t="shared" si="0"/>
        <v>N</v>
      </c>
      <c r="V15" s="1" t="str">
        <f>_xlfn.CONCAT(EmployeeTable[[#This Row],[Region Code]],EmployeeTable[[#This Row],[Employee ID]],EmployeeTable[[#This Row],[First Name]],EmployeeTable[[#This Row],[Last Name]])</f>
        <v>N14IslaLee</v>
      </c>
      <c r="W15" s="31" t="str">
        <f>IF(AND(EmployeeTable[[#This Row],[Performance Rating]]&gt;=4, EmployeeTable[[#This Row],[Bonus]]&gt;=0.1),"Eligible","Not Eligible")</f>
        <v>Not Eligible</v>
      </c>
      <c r="X15" s="1"/>
      <c r="Y15" s="3"/>
      <c r="Z15" s="5"/>
    </row>
    <row r="16" spans="1:27" ht="17.25" x14ac:dyDescent="0.3">
      <c r="A16" s="12">
        <v>15</v>
      </c>
      <c r="B16" s="26" t="str">
        <f>LOWER(_xlfn.CONCAT(EmployeeTable[[#This Row],[First Name]],".",EmployeeTable[[#This Row],[Last Name]],"@company.com"))</f>
        <v>henry.miller@company.com</v>
      </c>
      <c r="C16" s="1" t="s">
        <v>40</v>
      </c>
      <c r="D16" s="1" t="s">
        <v>48</v>
      </c>
      <c r="E16" s="1" t="s">
        <v>33</v>
      </c>
      <c r="F16" s="23" t="str">
        <f>LEFT(EmployeeTable[[#This Row],[First Name]],4)</f>
        <v>Henr</v>
      </c>
      <c r="G16" s="1"/>
      <c r="H16" s="1" t="s">
        <v>42</v>
      </c>
      <c r="I16" s="5" t="s">
        <v>43</v>
      </c>
      <c r="J16" s="7" t="s">
        <v>90</v>
      </c>
      <c r="K16" s="28" t="str">
        <f>TEXT(EmployeeTable[[#This Row],[Joining Date]],"MM-DD-YYYY")</f>
        <v>05-28-2015</v>
      </c>
      <c r="L16" s="6">
        <v>106449</v>
      </c>
      <c r="M16" s="1" t="s">
        <v>91</v>
      </c>
      <c r="N16" s="1" t="s">
        <v>62</v>
      </c>
      <c r="O16" s="1">
        <v>4.5999999999999996</v>
      </c>
      <c r="P16" s="2">
        <v>4433</v>
      </c>
      <c r="Q16" s="2">
        <v>43827</v>
      </c>
      <c r="R16" s="1">
        <v>4.83</v>
      </c>
      <c r="S16" s="1">
        <v>13</v>
      </c>
      <c r="T16" s="1" t="s">
        <v>92</v>
      </c>
      <c r="U16" s="35" t="str">
        <f t="shared" si="0"/>
        <v>E</v>
      </c>
      <c r="V16" s="1" t="str">
        <f>_xlfn.CONCAT(EmployeeTable[[#This Row],[Region Code]],EmployeeTable[[#This Row],[Employee ID]],EmployeeTable[[#This Row],[First Name]],EmployeeTable[[#This Row],[Last Name]])</f>
        <v>E15HenryMiller</v>
      </c>
      <c r="W16" s="31" t="str">
        <f>IF(AND(EmployeeTable[[#This Row],[Performance Rating]]&gt;=4, EmployeeTable[[#This Row],[Bonus]]&gt;=0.1),"Eligible","Not Eligible")</f>
        <v>Eligible</v>
      </c>
      <c r="X16" s="1"/>
      <c r="Y16" s="3"/>
      <c r="Z16" s="5"/>
    </row>
    <row r="17" spans="1:26" ht="17.25" x14ac:dyDescent="0.3">
      <c r="A17" s="12">
        <v>16</v>
      </c>
      <c r="B17" s="26" t="str">
        <f>LOWER(_xlfn.CONCAT(EmployeeTable[[#This Row],[First Name]],".",EmployeeTable[[#This Row],[Last Name]],"@company.com"))</f>
        <v>jack.green@company.com</v>
      </c>
      <c r="C17" s="1" t="s">
        <v>69</v>
      </c>
      <c r="D17" s="1" t="s">
        <v>93</v>
      </c>
      <c r="E17" s="1" t="s">
        <v>49</v>
      </c>
      <c r="F17" s="23" t="str">
        <f>LEFT(EmployeeTable[[#This Row],[First Name]],4)</f>
        <v>Jack</v>
      </c>
      <c r="G17" s="1"/>
      <c r="H17" s="1" t="s">
        <v>83</v>
      </c>
      <c r="I17" s="5" t="s">
        <v>84</v>
      </c>
      <c r="J17" s="8" t="s">
        <v>94</v>
      </c>
      <c r="K17" s="29" t="str">
        <f>TEXT(EmployeeTable[[#This Row],[Joining Date]],"MM-DD-YYYY")</f>
        <v>07-26-2015</v>
      </c>
      <c r="L17" s="6">
        <v>108441</v>
      </c>
      <c r="M17" s="1" t="s">
        <v>89</v>
      </c>
      <c r="N17" s="1" t="s">
        <v>38</v>
      </c>
      <c r="O17" s="1">
        <v>4.0999999999999996</v>
      </c>
      <c r="P17" s="2">
        <v>4454</v>
      </c>
      <c r="Q17" s="2">
        <v>52107</v>
      </c>
      <c r="R17" s="1">
        <v>5.07</v>
      </c>
      <c r="S17" s="1">
        <v>50</v>
      </c>
      <c r="T17" s="1" t="s">
        <v>31</v>
      </c>
      <c r="U17" s="35" t="str">
        <f t="shared" si="0"/>
        <v>W</v>
      </c>
      <c r="V17" s="1" t="str">
        <f>_xlfn.CONCAT(EmployeeTable[[#This Row],[Region Code]],EmployeeTable[[#This Row],[Employee ID]],EmployeeTable[[#This Row],[First Name]],EmployeeTable[[#This Row],[Last Name]])</f>
        <v>W16JackGreen</v>
      </c>
      <c r="W17" s="31" t="str">
        <f>IF(AND(EmployeeTable[[#This Row],[Performance Rating]]&gt;=4, EmployeeTable[[#This Row],[Bonus]]&gt;=0.1),"Eligible","Not Eligible")</f>
        <v>Eligible</v>
      </c>
      <c r="X17" s="1"/>
      <c r="Y17" s="3"/>
      <c r="Z17" s="5"/>
    </row>
    <row r="18" spans="1:26" ht="17.25" x14ac:dyDescent="0.3">
      <c r="A18" s="12">
        <v>17</v>
      </c>
      <c r="B18" s="26" t="str">
        <f>LOWER(_xlfn.CONCAT(EmployeeTable[[#This Row],[First Name]],".",EmployeeTable[[#This Row],[Last Name]],"@company.com"))</f>
        <v>isla.miller@company.com</v>
      </c>
      <c r="C18" s="1" t="s">
        <v>40</v>
      </c>
      <c r="D18" s="1" t="s">
        <v>87</v>
      </c>
      <c r="E18" s="1" t="s">
        <v>33</v>
      </c>
      <c r="F18" s="23" t="str">
        <f>LEFT(EmployeeTable[[#This Row],[First Name]],4)</f>
        <v>Isla</v>
      </c>
      <c r="G18" s="1"/>
      <c r="H18" s="1" t="s">
        <v>42</v>
      </c>
      <c r="I18" s="5" t="s">
        <v>43</v>
      </c>
      <c r="J18" s="7" t="s">
        <v>95</v>
      </c>
      <c r="K18" s="28" t="str">
        <f>TEXT(EmployeeTable[[#This Row],[Joining Date]],"MM-DD-YYYY")</f>
        <v>08-21-2018</v>
      </c>
      <c r="L18" s="6">
        <v>51402</v>
      </c>
      <c r="M18" s="1" t="s">
        <v>45</v>
      </c>
      <c r="N18" s="1" t="s">
        <v>30</v>
      </c>
      <c r="O18" s="1">
        <v>4.9000000000000004</v>
      </c>
      <c r="P18" s="2">
        <v>4568</v>
      </c>
      <c r="Q18" s="2">
        <v>97455</v>
      </c>
      <c r="R18" s="1">
        <v>9.86</v>
      </c>
      <c r="S18" s="1">
        <v>33</v>
      </c>
      <c r="T18" s="1" t="s">
        <v>75</v>
      </c>
      <c r="U18" s="35" t="str">
        <f t="shared" si="0"/>
        <v>S</v>
      </c>
      <c r="V18" s="1" t="str">
        <f>_xlfn.CONCAT(EmployeeTable[[#This Row],[Region Code]],EmployeeTable[[#This Row],[Employee ID]],EmployeeTable[[#This Row],[First Name]],EmployeeTable[[#This Row],[Last Name]])</f>
        <v>S17IslaMiller</v>
      </c>
      <c r="W18" s="31" t="str">
        <f>IF(AND(EmployeeTable[[#This Row],[Performance Rating]]&gt;=4, EmployeeTable[[#This Row],[Bonus]]&gt;=0.1),"Eligible","Not Eligible")</f>
        <v>Eligible</v>
      </c>
      <c r="X18" s="1"/>
      <c r="Y18" s="3"/>
      <c r="Z18" s="5"/>
    </row>
    <row r="19" spans="1:26" ht="17.25" x14ac:dyDescent="0.3">
      <c r="A19" s="12">
        <v>18</v>
      </c>
      <c r="B19" s="26" t="str">
        <f>LOWER(_xlfn.CONCAT(EmployeeTable[[#This Row],[First Name]],".",EmployeeTable[[#This Row],[Last Name]],"@company.com"))</f>
        <v>eva.davis@company.com</v>
      </c>
      <c r="C19" s="1" t="s">
        <v>23</v>
      </c>
      <c r="D19" s="1" t="s">
        <v>78</v>
      </c>
      <c r="E19" s="1" t="s">
        <v>76</v>
      </c>
      <c r="F19" s="23" t="str">
        <f>LEFT(EmployeeTable[[#This Row],[First Name]],4)</f>
        <v>Eva</v>
      </c>
      <c r="G19" s="1"/>
      <c r="H19" s="1" t="s">
        <v>79</v>
      </c>
      <c r="I19" s="5" t="s">
        <v>80</v>
      </c>
      <c r="J19" s="8" t="s">
        <v>96</v>
      </c>
      <c r="K19" s="29" t="str">
        <f>TEXT(EmployeeTable[[#This Row],[Joining Date]],"MM-DD-YYYY")</f>
        <v>04-02-2020</v>
      </c>
      <c r="L19" s="6">
        <v>63201</v>
      </c>
      <c r="M19" s="1" t="s">
        <v>97</v>
      </c>
      <c r="N19" s="1" t="s">
        <v>38</v>
      </c>
      <c r="O19" s="1">
        <v>3.1</v>
      </c>
      <c r="P19" s="2">
        <v>4612</v>
      </c>
      <c r="Q19" s="2">
        <v>71373</v>
      </c>
      <c r="R19" s="1">
        <v>4.2300000000000004</v>
      </c>
      <c r="S19" s="1">
        <v>51</v>
      </c>
      <c r="T19" s="1" t="s">
        <v>98</v>
      </c>
      <c r="U19" s="35" t="str">
        <f t="shared" si="0"/>
        <v>W</v>
      </c>
      <c r="V19" s="1" t="str">
        <f>_xlfn.CONCAT(EmployeeTable[[#This Row],[Region Code]],EmployeeTable[[#This Row],[Employee ID]],EmployeeTable[[#This Row],[First Name]],EmployeeTable[[#This Row],[Last Name]])</f>
        <v>W18EvaDavis</v>
      </c>
      <c r="W19" s="31" t="str">
        <f>IF(AND(EmployeeTable[[#This Row],[Performance Rating]]&gt;=4, EmployeeTable[[#This Row],[Bonus]]&gt;=0.1),"Eligible","Not Eligible")</f>
        <v>Not Eligible</v>
      </c>
      <c r="X19" s="1"/>
      <c r="Y19" s="3"/>
      <c r="Z19" s="5"/>
    </row>
    <row r="20" spans="1:26" ht="17.25" x14ac:dyDescent="0.3">
      <c r="A20" s="12">
        <v>19</v>
      </c>
      <c r="B20" s="26" t="str">
        <f>LOWER(_xlfn.CONCAT(EmployeeTable[[#This Row],[First Name]],".",EmployeeTable[[#This Row],[Last Name]],"@company.com"))</f>
        <v>carol.smith@company.com</v>
      </c>
      <c r="C20" s="1" t="s">
        <v>55</v>
      </c>
      <c r="D20" s="1" t="s">
        <v>66</v>
      </c>
      <c r="E20" s="1" t="s">
        <v>71</v>
      </c>
      <c r="F20" s="23" t="str">
        <f>LEFT(EmployeeTable[[#This Row],[First Name]],4)</f>
        <v>Caro</v>
      </c>
      <c r="G20" s="1"/>
      <c r="H20" s="1" t="s">
        <v>58</v>
      </c>
      <c r="I20" s="5" t="s">
        <v>59</v>
      </c>
      <c r="J20" s="7" t="s">
        <v>99</v>
      </c>
      <c r="K20" s="28" t="str">
        <f>TEXT(EmployeeTable[[#This Row],[Joining Date]],"MM-DD-YYYY")</f>
        <v>08-06-2022</v>
      </c>
      <c r="L20" s="6">
        <v>102933</v>
      </c>
      <c r="M20" s="1" t="s">
        <v>37</v>
      </c>
      <c r="N20" s="1" t="s">
        <v>62</v>
      </c>
      <c r="O20" s="1">
        <v>4</v>
      </c>
      <c r="P20" s="2">
        <v>4695</v>
      </c>
      <c r="Q20" s="2">
        <v>80467</v>
      </c>
      <c r="R20" s="1">
        <v>5.14</v>
      </c>
      <c r="S20" s="1">
        <v>25</v>
      </c>
      <c r="T20" s="1" t="s">
        <v>100</v>
      </c>
      <c r="U20" s="35" t="str">
        <f t="shared" si="0"/>
        <v>E</v>
      </c>
      <c r="V20" s="1" t="str">
        <f>_xlfn.CONCAT(EmployeeTable[[#This Row],[Region Code]],EmployeeTable[[#This Row],[Employee ID]],EmployeeTable[[#This Row],[First Name]],EmployeeTable[[#This Row],[Last Name]])</f>
        <v>E19CarolSmith</v>
      </c>
      <c r="W20" s="31" t="str">
        <f>IF(AND(EmployeeTable[[#This Row],[Performance Rating]]&gt;=4, EmployeeTable[[#This Row],[Bonus]]&gt;=0.1),"Eligible","Not Eligible")</f>
        <v>Eligible</v>
      </c>
      <c r="X20" s="1"/>
      <c r="Y20" s="3"/>
      <c r="Z20" s="5"/>
    </row>
    <row r="21" spans="1:26" ht="17.25" x14ac:dyDescent="0.3">
      <c r="A21" s="12">
        <v>20</v>
      </c>
      <c r="B21" s="26" t="str">
        <f>LOWER(_xlfn.CONCAT(EmployeeTable[[#This Row],[First Name]],".",EmployeeTable[[#This Row],[Last Name]],"@company.com"))</f>
        <v>isla.lee@company.com</v>
      </c>
      <c r="C21" s="1" t="s">
        <v>69</v>
      </c>
      <c r="D21" s="1" t="s">
        <v>87</v>
      </c>
      <c r="E21" s="1" t="s">
        <v>41</v>
      </c>
      <c r="F21" s="23" t="str">
        <f>LEFT(EmployeeTable[[#This Row],[First Name]],4)</f>
        <v>Isla</v>
      </c>
      <c r="G21" s="1"/>
      <c r="H21" s="1" t="s">
        <v>101</v>
      </c>
      <c r="I21" s="5" t="s">
        <v>102</v>
      </c>
      <c r="J21" s="8" t="s">
        <v>103</v>
      </c>
      <c r="K21" s="29" t="str">
        <f>TEXT(EmployeeTable[[#This Row],[Joining Date]],"MM-DD-YYYY")</f>
        <v>01-26-2018</v>
      </c>
      <c r="L21" s="6">
        <v>46532</v>
      </c>
      <c r="M21" s="1" t="s">
        <v>68</v>
      </c>
      <c r="N21" s="1" t="s">
        <v>54</v>
      </c>
      <c r="O21" s="1">
        <v>4.9000000000000004</v>
      </c>
      <c r="P21" s="2">
        <v>4747</v>
      </c>
      <c r="Q21" s="2">
        <v>74044</v>
      </c>
      <c r="R21" s="1">
        <v>7.9</v>
      </c>
      <c r="S21" s="1">
        <v>53</v>
      </c>
      <c r="T21" s="1" t="s">
        <v>104</v>
      </c>
      <c r="U21" s="35" t="str">
        <f t="shared" si="0"/>
        <v>N</v>
      </c>
      <c r="V21" s="1" t="str">
        <f>_xlfn.CONCAT(EmployeeTable[[#This Row],[Region Code]],EmployeeTable[[#This Row],[Employee ID]],EmployeeTable[[#This Row],[First Name]],EmployeeTable[[#This Row],[Last Name]])</f>
        <v>N20IslaLee</v>
      </c>
      <c r="W21" s="31" t="str">
        <f>IF(AND(EmployeeTable[[#This Row],[Performance Rating]]&gt;=4, EmployeeTable[[#This Row],[Bonus]]&gt;=0.1),"Eligible","Not Eligible")</f>
        <v>Eligible</v>
      </c>
      <c r="X21" s="1"/>
      <c r="Y21" s="3"/>
      <c r="Z21" s="5"/>
    </row>
    <row r="22" spans="1:26" ht="17.25" x14ac:dyDescent="0.3">
      <c r="A22" s="12">
        <v>21</v>
      </c>
      <c r="B22" s="26" t="str">
        <f>LOWER(_xlfn.CONCAT(EmployeeTable[[#This Row],[First Name]],".",EmployeeTable[[#This Row],[Last Name]],"@company.com"))</f>
        <v>grace.green@company.com</v>
      </c>
      <c r="C22" s="1" t="s">
        <v>55</v>
      </c>
      <c r="D22" s="1" t="s">
        <v>64</v>
      </c>
      <c r="E22" s="1" t="s">
        <v>49</v>
      </c>
      <c r="F22" s="23" t="str">
        <f>LEFT(EmployeeTable[[#This Row],[First Name]],4)</f>
        <v>Grac</v>
      </c>
      <c r="G22" s="1"/>
      <c r="H22" s="1" t="s">
        <v>26</v>
      </c>
      <c r="I22" s="5" t="s">
        <v>27</v>
      </c>
      <c r="J22" s="7" t="s">
        <v>105</v>
      </c>
      <c r="K22" s="28" t="str">
        <f>TEXT(EmployeeTable[[#This Row],[Joining Date]],"MM-DD-YYYY")</f>
        <v>09-08-2019</v>
      </c>
      <c r="L22" s="6">
        <v>105654</v>
      </c>
      <c r="M22" s="1" t="s">
        <v>91</v>
      </c>
      <c r="N22" s="1" t="s">
        <v>30</v>
      </c>
      <c r="O22" s="1">
        <v>5</v>
      </c>
      <c r="P22" s="2">
        <v>5005</v>
      </c>
      <c r="Q22" s="2">
        <v>59080</v>
      </c>
      <c r="R22" s="1">
        <v>8.99</v>
      </c>
      <c r="S22" s="1">
        <v>26</v>
      </c>
      <c r="T22" s="1" t="s">
        <v>104</v>
      </c>
      <c r="U22" s="35" t="str">
        <f t="shared" si="0"/>
        <v>S</v>
      </c>
      <c r="V22" s="1" t="str">
        <f>_xlfn.CONCAT(EmployeeTable[[#This Row],[Region Code]],EmployeeTable[[#This Row],[Employee ID]],EmployeeTable[[#This Row],[First Name]],EmployeeTable[[#This Row],[Last Name]])</f>
        <v>S21GraceGreen</v>
      </c>
      <c r="W22" s="31" t="str">
        <f>IF(AND(EmployeeTable[[#This Row],[Performance Rating]]&gt;=4, EmployeeTable[[#This Row],[Bonus]]&gt;=0.1),"Eligible","Not Eligible")</f>
        <v>Eligible</v>
      </c>
      <c r="X22" s="1"/>
      <c r="Y22" s="3"/>
      <c r="Z22" s="5"/>
    </row>
    <row r="23" spans="1:26" ht="17.25" x14ac:dyDescent="0.3">
      <c r="A23" s="12">
        <v>22</v>
      </c>
      <c r="B23" s="26" t="str">
        <f>LOWER(_xlfn.CONCAT(EmployeeTable[[#This Row],[First Name]],".",EmployeeTable[[#This Row],[Last Name]],"@company.com"))</f>
        <v>eva.smith@company.com</v>
      </c>
      <c r="C23" s="1" t="s">
        <v>40</v>
      </c>
      <c r="D23" s="1" t="s">
        <v>78</v>
      </c>
      <c r="E23" s="1" t="s">
        <v>71</v>
      </c>
      <c r="F23" s="23" t="str">
        <f>LEFT(EmployeeTable[[#This Row],[First Name]],4)</f>
        <v>Eva</v>
      </c>
      <c r="G23" s="1"/>
      <c r="H23" s="1" t="s">
        <v>50</v>
      </c>
      <c r="I23" s="5" t="s">
        <v>51</v>
      </c>
      <c r="J23" s="8" t="s">
        <v>106</v>
      </c>
      <c r="K23" s="29" t="str">
        <f>TEXT(EmployeeTable[[#This Row],[Joining Date]],"MM-DD-YYYY")</f>
        <v>03-22-2021</v>
      </c>
      <c r="L23" s="6">
        <v>78006</v>
      </c>
      <c r="M23" s="1" t="s">
        <v>37</v>
      </c>
      <c r="N23" s="1" t="s">
        <v>38</v>
      </c>
      <c r="O23" s="1">
        <v>4</v>
      </c>
      <c r="P23" s="2">
        <v>5152</v>
      </c>
      <c r="Q23" s="2">
        <v>15530</v>
      </c>
      <c r="R23" s="1">
        <v>8.0500000000000007</v>
      </c>
      <c r="S23" s="1">
        <v>28</v>
      </c>
      <c r="T23" s="1" t="s">
        <v>100</v>
      </c>
      <c r="U23" s="35" t="str">
        <f t="shared" si="0"/>
        <v>W</v>
      </c>
      <c r="V23" s="1" t="str">
        <f>_xlfn.CONCAT(EmployeeTable[[#This Row],[Region Code]],EmployeeTable[[#This Row],[Employee ID]],EmployeeTable[[#This Row],[First Name]],EmployeeTable[[#This Row],[Last Name]])</f>
        <v>W22EvaSmith</v>
      </c>
      <c r="W23" s="31" t="str">
        <f>IF(AND(EmployeeTable[[#This Row],[Performance Rating]]&gt;=4, EmployeeTable[[#This Row],[Bonus]]&gt;=0.1),"Eligible","Not Eligible")</f>
        <v>Eligible</v>
      </c>
      <c r="X23" s="1"/>
      <c r="Y23" s="3"/>
      <c r="Z23" s="5"/>
    </row>
    <row r="24" spans="1:26" ht="17.25" x14ac:dyDescent="0.3">
      <c r="A24" s="12">
        <v>23</v>
      </c>
      <c r="B24" s="26" t="str">
        <f>LOWER(_xlfn.CONCAT(EmployeeTable[[#This Row],[First Name]],".",EmployeeTable[[#This Row],[Last Name]],"@company.com"))</f>
        <v>bob.smith@company.com</v>
      </c>
      <c r="C24" s="1" t="s">
        <v>69</v>
      </c>
      <c r="D24" s="1" t="s">
        <v>24</v>
      </c>
      <c r="E24" s="1" t="s">
        <v>71</v>
      </c>
      <c r="F24" s="23" t="str">
        <f>LEFT(EmployeeTable[[#This Row],[First Name]],4)</f>
        <v>Bob</v>
      </c>
      <c r="G24" s="1"/>
      <c r="H24" s="1" t="s">
        <v>42</v>
      </c>
      <c r="I24" s="5" t="s">
        <v>43</v>
      </c>
      <c r="J24" s="7" t="s">
        <v>107</v>
      </c>
      <c r="K24" s="28" t="str">
        <f>TEXT(EmployeeTable[[#This Row],[Joining Date]],"MM-DD-YYYY")</f>
        <v>02-25-2018</v>
      </c>
      <c r="L24" s="6">
        <v>70978</v>
      </c>
      <c r="M24" s="1" t="s">
        <v>68</v>
      </c>
      <c r="N24" s="1" t="s">
        <v>38</v>
      </c>
      <c r="O24" s="1">
        <v>4.5999999999999996</v>
      </c>
      <c r="P24" s="2">
        <v>5556</v>
      </c>
      <c r="Q24" s="2">
        <v>52941</v>
      </c>
      <c r="R24" s="1">
        <v>8.5</v>
      </c>
      <c r="S24" s="1">
        <v>55</v>
      </c>
      <c r="T24" s="1" t="s">
        <v>31</v>
      </c>
      <c r="U24" s="35" t="str">
        <f t="shared" si="0"/>
        <v>W</v>
      </c>
      <c r="V24" s="1" t="str">
        <f>_xlfn.CONCAT(EmployeeTable[[#This Row],[Region Code]],EmployeeTable[[#This Row],[Employee ID]],EmployeeTable[[#This Row],[First Name]],EmployeeTable[[#This Row],[Last Name]])</f>
        <v>W23BobSmith</v>
      </c>
      <c r="W24" s="31" t="str">
        <f>IF(AND(EmployeeTable[[#This Row],[Performance Rating]]&gt;=4, EmployeeTable[[#This Row],[Bonus]]&gt;=0.1),"Eligible","Not Eligible")</f>
        <v>Eligible</v>
      </c>
      <c r="X24" s="1"/>
      <c r="Y24" s="3"/>
      <c r="Z24" s="5"/>
    </row>
    <row r="25" spans="1:26" ht="17.25" x14ac:dyDescent="0.3">
      <c r="A25" s="12">
        <v>24</v>
      </c>
      <c r="B25" s="26" t="str">
        <f>LOWER(_xlfn.CONCAT(EmployeeTable[[#This Row],[First Name]],".",EmployeeTable[[#This Row],[Last Name]],"@company.com"))</f>
        <v>henry.adams@company.com</v>
      </c>
      <c r="C25" s="1" t="s">
        <v>55</v>
      </c>
      <c r="D25" s="1" t="s">
        <v>48</v>
      </c>
      <c r="E25" s="1" t="s">
        <v>108</v>
      </c>
      <c r="F25" s="23" t="str">
        <f>LEFT(EmployeeTable[[#This Row],[First Name]],4)</f>
        <v>Henr</v>
      </c>
      <c r="G25" s="1"/>
      <c r="H25" s="1" t="s">
        <v>34</v>
      </c>
      <c r="I25" s="5" t="s">
        <v>35</v>
      </c>
      <c r="J25" s="8" t="s">
        <v>109</v>
      </c>
      <c r="K25" s="29" t="str">
        <f>TEXT(EmployeeTable[[#This Row],[Joining Date]],"MM-DD-YYYY")</f>
        <v>10-04-2022</v>
      </c>
      <c r="L25" s="6">
        <v>92365</v>
      </c>
      <c r="M25" s="1" t="s">
        <v>37</v>
      </c>
      <c r="N25" s="1" t="s">
        <v>38</v>
      </c>
      <c r="O25" s="1">
        <v>3.5</v>
      </c>
      <c r="P25" s="2">
        <v>5561</v>
      </c>
      <c r="Q25" s="2">
        <v>99045</v>
      </c>
      <c r="R25" s="1">
        <v>3.49</v>
      </c>
      <c r="S25" s="1">
        <v>27</v>
      </c>
      <c r="T25" s="1" t="s">
        <v>98</v>
      </c>
      <c r="U25" s="35" t="str">
        <f t="shared" si="0"/>
        <v>W</v>
      </c>
      <c r="V25" s="1" t="str">
        <f>_xlfn.CONCAT(EmployeeTable[[#This Row],[Region Code]],EmployeeTable[[#This Row],[Employee ID]],EmployeeTable[[#This Row],[First Name]],EmployeeTable[[#This Row],[Last Name]])</f>
        <v>W24HenryAdams</v>
      </c>
      <c r="W25" s="31" t="str">
        <f>IF(AND(EmployeeTable[[#This Row],[Performance Rating]]&gt;=4, EmployeeTable[[#This Row],[Bonus]]&gt;=0.1),"Eligible","Not Eligible")</f>
        <v>Not Eligible</v>
      </c>
      <c r="X25" s="1"/>
      <c r="Y25" s="3"/>
      <c r="Z25" s="5"/>
    </row>
    <row r="26" spans="1:26" ht="17.25" x14ac:dyDescent="0.3">
      <c r="A26" s="12">
        <v>25</v>
      </c>
      <c r="B26" s="26" t="str">
        <f>LOWER(_xlfn.CONCAT(EmployeeTable[[#This Row],[First Name]],".",EmployeeTable[[#This Row],[Last Name]],"@company.com"))</f>
        <v>eva.miller@company.com</v>
      </c>
      <c r="C26" s="1" t="s">
        <v>55</v>
      </c>
      <c r="D26" s="1" t="s">
        <v>78</v>
      </c>
      <c r="E26" s="1" t="s">
        <v>33</v>
      </c>
      <c r="F26" s="23" t="str">
        <f>LEFT(EmployeeTable[[#This Row],[First Name]],4)</f>
        <v>Eva</v>
      </c>
      <c r="G26" s="1"/>
      <c r="H26" s="1" t="s">
        <v>58</v>
      </c>
      <c r="I26" s="5" t="s">
        <v>59</v>
      </c>
      <c r="J26" s="7" t="s">
        <v>110</v>
      </c>
      <c r="K26" s="28" t="str">
        <f>TEXT(EmployeeTable[[#This Row],[Joining Date]],"MM-DD-YYYY")</f>
        <v>11-13-2021</v>
      </c>
      <c r="L26" s="6">
        <v>86043</v>
      </c>
      <c r="M26" s="1" t="s">
        <v>97</v>
      </c>
      <c r="N26" s="1" t="s">
        <v>38</v>
      </c>
      <c r="O26" s="1">
        <v>3.5</v>
      </c>
      <c r="P26" s="2">
        <v>5890</v>
      </c>
      <c r="Q26" s="2">
        <v>31834</v>
      </c>
      <c r="R26" s="1">
        <v>7.68</v>
      </c>
      <c r="S26" s="1">
        <v>55</v>
      </c>
      <c r="T26" s="1" t="s">
        <v>46</v>
      </c>
      <c r="U26" s="35" t="str">
        <f t="shared" si="0"/>
        <v>W</v>
      </c>
      <c r="V26" s="1" t="str">
        <f>_xlfn.CONCAT(EmployeeTable[[#This Row],[Region Code]],EmployeeTable[[#This Row],[Employee ID]],EmployeeTable[[#This Row],[First Name]],EmployeeTable[[#This Row],[Last Name]])</f>
        <v>W25EvaMiller</v>
      </c>
      <c r="W26" s="31" t="str">
        <f>IF(AND(EmployeeTable[[#This Row],[Performance Rating]]&gt;=4, EmployeeTable[[#This Row],[Bonus]]&gt;=0.1),"Eligible","Not Eligible")</f>
        <v>Not Eligible</v>
      </c>
      <c r="X26" s="1"/>
      <c r="Y26" s="3"/>
      <c r="Z26" s="5"/>
    </row>
    <row r="27" spans="1:26" ht="17.25" x14ac:dyDescent="0.3">
      <c r="A27" s="12">
        <v>26</v>
      </c>
      <c r="B27" s="26" t="str">
        <f>LOWER(_xlfn.CONCAT(EmployeeTable[[#This Row],[First Name]],".",EmployeeTable[[#This Row],[Last Name]],"@company.com"))</f>
        <v>frank.taylor@company.com</v>
      </c>
      <c r="C27" s="1" t="s">
        <v>40</v>
      </c>
      <c r="D27" s="1" t="s">
        <v>56</v>
      </c>
      <c r="E27" s="1" t="s">
        <v>111</v>
      </c>
      <c r="F27" s="23" t="str">
        <f>LEFT(EmployeeTable[[#This Row],[First Name]],4)</f>
        <v>Fran</v>
      </c>
      <c r="G27" s="1"/>
      <c r="H27" s="1" t="s">
        <v>101</v>
      </c>
      <c r="I27" s="5" t="s">
        <v>102</v>
      </c>
      <c r="J27" s="8" t="s">
        <v>112</v>
      </c>
      <c r="K27" s="29" t="str">
        <f>TEXT(EmployeeTable[[#This Row],[Joining Date]],"MM-DD-YYYY")</f>
        <v>01-01-2015</v>
      </c>
      <c r="L27" s="6">
        <v>46121</v>
      </c>
      <c r="M27" s="1" t="s">
        <v>113</v>
      </c>
      <c r="N27" s="1" t="s">
        <v>54</v>
      </c>
      <c r="O27" s="1">
        <v>4.2</v>
      </c>
      <c r="P27" s="2">
        <v>5943</v>
      </c>
      <c r="Q27" s="2">
        <v>23545</v>
      </c>
      <c r="R27" s="1">
        <v>6.8</v>
      </c>
      <c r="S27" s="1">
        <v>39</v>
      </c>
      <c r="T27" s="1" t="s">
        <v>46</v>
      </c>
      <c r="U27" s="35" t="str">
        <f t="shared" si="0"/>
        <v>N</v>
      </c>
      <c r="V27" s="1" t="str">
        <f>_xlfn.CONCAT(EmployeeTable[[#This Row],[Region Code]],EmployeeTable[[#This Row],[Employee ID]],EmployeeTable[[#This Row],[First Name]],EmployeeTable[[#This Row],[Last Name]])</f>
        <v>N26FrankTaylor</v>
      </c>
      <c r="W27" s="31" t="str">
        <f>IF(AND(EmployeeTable[[#This Row],[Performance Rating]]&gt;=4, EmployeeTable[[#This Row],[Bonus]]&gt;=0.1),"Eligible","Not Eligible")</f>
        <v>Eligible</v>
      </c>
      <c r="X27" s="1"/>
      <c r="Y27" s="3"/>
      <c r="Z27" s="5"/>
    </row>
    <row r="28" spans="1:26" ht="17.25" x14ac:dyDescent="0.3">
      <c r="A28" s="12">
        <v>27</v>
      </c>
      <c r="B28" s="26" t="str">
        <f>LOWER(_xlfn.CONCAT(EmployeeTable[[#This Row],[First Name]],".",EmployeeTable[[#This Row],[Last Name]],"@company.com"))</f>
        <v>henry.clark@company.com</v>
      </c>
      <c r="C28" s="1" t="s">
        <v>47</v>
      </c>
      <c r="D28" s="1" t="s">
        <v>48</v>
      </c>
      <c r="E28" s="1" t="s">
        <v>25</v>
      </c>
      <c r="F28" s="23" t="str">
        <f>LEFT(EmployeeTable[[#This Row],[First Name]],4)</f>
        <v>Henr</v>
      </c>
      <c r="G28" s="1"/>
      <c r="H28" s="1" t="s">
        <v>79</v>
      </c>
      <c r="I28" s="5" t="s">
        <v>80</v>
      </c>
      <c r="J28" s="7" t="s">
        <v>114</v>
      </c>
      <c r="K28" s="28" t="str">
        <f>TEXT(EmployeeTable[[#This Row],[Joining Date]],"MM-DD-YYYY")</f>
        <v>08-13-2016</v>
      </c>
      <c r="L28" s="6">
        <v>65879</v>
      </c>
      <c r="M28" s="1" t="s">
        <v>115</v>
      </c>
      <c r="N28" s="1" t="s">
        <v>38</v>
      </c>
      <c r="O28" s="1">
        <v>4.5999999999999996</v>
      </c>
      <c r="P28" s="2">
        <v>6297</v>
      </c>
      <c r="Q28" s="2">
        <v>93211</v>
      </c>
      <c r="R28" s="1">
        <v>7.68</v>
      </c>
      <c r="S28" s="1">
        <v>43</v>
      </c>
      <c r="T28" s="1" t="s">
        <v>100</v>
      </c>
      <c r="U28" s="35" t="str">
        <f t="shared" si="0"/>
        <v>W</v>
      </c>
      <c r="V28" s="1" t="str">
        <f>_xlfn.CONCAT(EmployeeTable[[#This Row],[Region Code]],EmployeeTable[[#This Row],[Employee ID]],EmployeeTable[[#This Row],[First Name]],EmployeeTable[[#This Row],[Last Name]])</f>
        <v>W27HenryClark</v>
      </c>
      <c r="W28" s="31" t="str">
        <f>IF(AND(EmployeeTable[[#This Row],[Performance Rating]]&gt;=4, EmployeeTable[[#This Row],[Bonus]]&gt;=0.1),"Eligible","Not Eligible")</f>
        <v>Eligible</v>
      </c>
      <c r="X28" s="1"/>
      <c r="Y28" s="3"/>
      <c r="Z28" s="5"/>
    </row>
    <row r="29" spans="1:26" ht="17.25" x14ac:dyDescent="0.3">
      <c r="A29" s="12">
        <v>28</v>
      </c>
      <c r="B29" s="26" t="str">
        <f>LOWER(_xlfn.CONCAT(EmployeeTable[[#This Row],[First Name]],".",EmployeeTable[[#This Row],[Last Name]],"@company.com"))</f>
        <v>bob.johnson@company.com</v>
      </c>
      <c r="C29" s="1" t="s">
        <v>55</v>
      </c>
      <c r="D29" s="1" t="s">
        <v>24</v>
      </c>
      <c r="E29" s="1" t="s">
        <v>73</v>
      </c>
      <c r="F29" s="23" t="str">
        <f>LEFT(EmployeeTable[[#This Row],[First Name]],4)</f>
        <v>Bob</v>
      </c>
      <c r="G29" s="1"/>
      <c r="H29" s="1" t="s">
        <v>101</v>
      </c>
      <c r="I29" s="5" t="s">
        <v>102</v>
      </c>
      <c r="J29" s="8" t="s">
        <v>116</v>
      </c>
      <c r="K29" s="29" t="str">
        <f>TEXT(EmployeeTable[[#This Row],[Joining Date]],"MM-DD-YYYY")</f>
        <v>03-07-2017</v>
      </c>
      <c r="L29" s="6">
        <v>86464</v>
      </c>
      <c r="M29" s="1" t="s">
        <v>68</v>
      </c>
      <c r="N29" s="1" t="s">
        <v>62</v>
      </c>
      <c r="O29" s="1">
        <v>3.4</v>
      </c>
      <c r="P29" s="2">
        <v>6426</v>
      </c>
      <c r="Q29" s="2">
        <v>64268</v>
      </c>
      <c r="R29" s="1">
        <v>4.46</v>
      </c>
      <c r="S29" s="1">
        <v>27</v>
      </c>
      <c r="T29" s="1" t="s">
        <v>75</v>
      </c>
      <c r="U29" s="35" t="str">
        <f t="shared" si="0"/>
        <v>E</v>
      </c>
      <c r="V29" s="1" t="str">
        <f>_xlfn.CONCAT(EmployeeTable[[#This Row],[Region Code]],EmployeeTable[[#This Row],[Employee ID]],EmployeeTable[[#This Row],[First Name]],EmployeeTable[[#This Row],[Last Name]])</f>
        <v>E28BobJohnson</v>
      </c>
      <c r="W29" s="31" t="str">
        <f>IF(AND(EmployeeTable[[#This Row],[Performance Rating]]&gt;=4, EmployeeTable[[#This Row],[Bonus]]&gt;=0.1),"Eligible","Not Eligible")</f>
        <v>Not Eligible</v>
      </c>
      <c r="X29" s="1"/>
      <c r="Y29" s="3"/>
      <c r="Z29" s="5"/>
    </row>
    <row r="30" spans="1:26" ht="17.25" x14ac:dyDescent="0.3">
      <c r="A30" s="12">
        <v>29</v>
      </c>
      <c r="B30" s="26" t="str">
        <f>LOWER(_xlfn.CONCAT(EmployeeTable[[#This Row],[First Name]],".",EmployeeTable[[#This Row],[Last Name]],"@company.com"))</f>
        <v>carol.clark@company.com</v>
      </c>
      <c r="C30" s="1" t="s">
        <v>69</v>
      </c>
      <c r="D30" s="1" t="s">
        <v>66</v>
      </c>
      <c r="E30" s="1" t="s">
        <v>25</v>
      </c>
      <c r="F30" s="23" t="str">
        <f>LEFT(EmployeeTable[[#This Row],[First Name]],4)</f>
        <v>Caro</v>
      </c>
      <c r="G30" s="1"/>
      <c r="H30" s="1" t="s">
        <v>83</v>
      </c>
      <c r="I30" s="5" t="s">
        <v>84</v>
      </c>
      <c r="J30" s="7" t="s">
        <v>28</v>
      </c>
      <c r="K30" s="28" t="str">
        <f>TEXT(EmployeeTable[[#This Row],[Joining Date]],"MM-DD-YYYY")</f>
        <v>06-19-2021</v>
      </c>
      <c r="L30" s="6">
        <v>91152</v>
      </c>
      <c r="M30" s="1" t="s">
        <v>68</v>
      </c>
      <c r="N30" s="1" t="s">
        <v>30</v>
      </c>
      <c r="O30" s="1">
        <v>4.9000000000000004</v>
      </c>
      <c r="P30" s="2">
        <v>7051</v>
      </c>
      <c r="Q30" s="2">
        <v>72623</v>
      </c>
      <c r="R30" s="1">
        <v>9.76</v>
      </c>
      <c r="S30" s="1">
        <v>34</v>
      </c>
      <c r="T30" s="1" t="s">
        <v>63</v>
      </c>
      <c r="U30" s="35" t="str">
        <f t="shared" si="0"/>
        <v>S</v>
      </c>
      <c r="V30" s="1" t="str">
        <f>_xlfn.CONCAT(EmployeeTable[[#This Row],[Region Code]],EmployeeTable[[#This Row],[Employee ID]],EmployeeTable[[#This Row],[First Name]],EmployeeTable[[#This Row],[Last Name]])</f>
        <v>S29CarolClark</v>
      </c>
      <c r="W30" s="31" t="str">
        <f>IF(AND(EmployeeTable[[#This Row],[Performance Rating]]&gt;=4, EmployeeTable[[#This Row],[Bonus]]&gt;=0.1),"Eligible","Not Eligible")</f>
        <v>Eligible</v>
      </c>
      <c r="X30" s="1"/>
      <c r="Y30" s="3"/>
      <c r="Z30" s="5"/>
    </row>
    <row r="31" spans="1:26" ht="17.25" x14ac:dyDescent="0.3">
      <c r="A31" s="12">
        <v>30</v>
      </c>
      <c r="B31" s="26" t="str">
        <f>LOWER(_xlfn.CONCAT(EmployeeTable[[#This Row],[First Name]],".",EmployeeTable[[#This Row],[Last Name]],"@company.com"))</f>
        <v>david.smith@company.com</v>
      </c>
      <c r="C31" s="1" t="s">
        <v>55</v>
      </c>
      <c r="D31" s="1" t="s">
        <v>32</v>
      </c>
      <c r="E31" s="1" t="s">
        <v>71</v>
      </c>
      <c r="F31" s="23" t="str">
        <f>LEFT(EmployeeTable[[#This Row],[First Name]],4)</f>
        <v>Davi</v>
      </c>
      <c r="G31" s="1"/>
      <c r="H31" s="1" t="s">
        <v>101</v>
      </c>
      <c r="I31" s="5" t="s">
        <v>102</v>
      </c>
      <c r="J31" s="8" t="s">
        <v>117</v>
      </c>
      <c r="K31" s="29" t="str">
        <f>TEXT(EmployeeTable[[#This Row],[Joining Date]],"MM-DD-YYYY")</f>
        <v>11-24-2020</v>
      </c>
      <c r="L31" s="6">
        <v>74256</v>
      </c>
      <c r="M31" s="1" t="s">
        <v>37</v>
      </c>
      <c r="N31" s="1" t="s">
        <v>62</v>
      </c>
      <c r="O31" s="1">
        <v>3.2</v>
      </c>
      <c r="P31" s="2">
        <v>7056</v>
      </c>
      <c r="Q31" s="2">
        <v>12811</v>
      </c>
      <c r="R31" s="1">
        <v>6.87</v>
      </c>
      <c r="S31" s="1">
        <v>34</v>
      </c>
      <c r="T31" s="1" t="s">
        <v>98</v>
      </c>
      <c r="U31" s="35" t="str">
        <f t="shared" si="0"/>
        <v>E</v>
      </c>
      <c r="V31" s="1" t="str">
        <f>_xlfn.CONCAT(EmployeeTable[[#This Row],[Region Code]],EmployeeTable[[#This Row],[Employee ID]],EmployeeTable[[#This Row],[First Name]],EmployeeTable[[#This Row],[Last Name]])</f>
        <v>E30DavidSmith</v>
      </c>
      <c r="W31" s="31" t="str">
        <f>IF(AND(EmployeeTable[[#This Row],[Performance Rating]]&gt;=4, EmployeeTable[[#This Row],[Bonus]]&gt;=0.1),"Eligible","Not Eligible")</f>
        <v>Not Eligible</v>
      </c>
      <c r="X31" s="1"/>
      <c r="Y31" s="3"/>
      <c r="Z31" s="5"/>
    </row>
    <row r="32" spans="1:26" ht="17.25" x14ac:dyDescent="0.3">
      <c r="A32" s="12">
        <v>31</v>
      </c>
      <c r="B32" s="26" t="str">
        <f>LOWER(_xlfn.CONCAT(EmployeeTable[[#This Row],[First Name]],".",EmployeeTable[[#This Row],[Last Name]],"@company.com"))</f>
        <v>alice.smith@company.com</v>
      </c>
      <c r="C32" s="1" t="s">
        <v>47</v>
      </c>
      <c r="D32" s="1" t="s">
        <v>70</v>
      </c>
      <c r="E32" s="1" t="s">
        <v>71</v>
      </c>
      <c r="F32" s="23" t="str">
        <f>LEFT(EmployeeTable[[#This Row],[First Name]],4)</f>
        <v>Alic</v>
      </c>
      <c r="G32" s="1"/>
      <c r="H32" s="1" t="s">
        <v>79</v>
      </c>
      <c r="I32" s="5" t="s">
        <v>80</v>
      </c>
      <c r="J32" s="7" t="s">
        <v>118</v>
      </c>
      <c r="K32" s="28" t="str">
        <f>TEXT(EmployeeTable[[#This Row],[Joining Date]],"MM-DD-YYYY")</f>
        <v>08-10-2019</v>
      </c>
      <c r="L32" s="6">
        <v>106368</v>
      </c>
      <c r="M32" s="1" t="s">
        <v>29</v>
      </c>
      <c r="N32" s="1" t="s">
        <v>54</v>
      </c>
      <c r="O32" s="1">
        <v>3.4</v>
      </c>
      <c r="P32" s="2">
        <v>7258</v>
      </c>
      <c r="Q32" s="2">
        <v>22688</v>
      </c>
      <c r="R32" s="1">
        <v>4.88</v>
      </c>
      <c r="S32" s="1">
        <v>16</v>
      </c>
      <c r="T32" s="1" t="s">
        <v>104</v>
      </c>
      <c r="U32" s="35" t="str">
        <f t="shared" si="0"/>
        <v>N</v>
      </c>
      <c r="V32" s="1" t="str">
        <f>_xlfn.CONCAT(EmployeeTable[[#This Row],[Region Code]],EmployeeTable[[#This Row],[Employee ID]],EmployeeTable[[#This Row],[First Name]],EmployeeTable[[#This Row],[Last Name]])</f>
        <v>N31AliceSmith</v>
      </c>
      <c r="W32" s="31" t="str">
        <f>IF(AND(EmployeeTable[[#This Row],[Performance Rating]]&gt;=4, EmployeeTable[[#This Row],[Bonus]]&gt;=0.1),"Eligible","Not Eligible")</f>
        <v>Not Eligible</v>
      </c>
      <c r="X32" s="1"/>
      <c r="Y32" s="3"/>
      <c r="Z32" s="5"/>
    </row>
    <row r="33" spans="1:26" ht="17.25" x14ac:dyDescent="0.3">
      <c r="A33" s="12">
        <v>32</v>
      </c>
      <c r="B33" s="26" t="str">
        <f>LOWER(_xlfn.CONCAT(EmployeeTable[[#This Row],[First Name]],".",EmployeeTable[[#This Row],[Last Name]],"@company.com"))</f>
        <v>david.adams@company.com</v>
      </c>
      <c r="C33" s="1" t="s">
        <v>55</v>
      </c>
      <c r="D33" s="1" t="s">
        <v>32</v>
      </c>
      <c r="E33" s="1" t="s">
        <v>108</v>
      </c>
      <c r="F33" s="23" t="str">
        <f>LEFT(EmployeeTable[[#This Row],[First Name]],4)</f>
        <v>Davi</v>
      </c>
      <c r="G33" s="1"/>
      <c r="H33" s="1" t="s">
        <v>58</v>
      </c>
      <c r="I33" s="5" t="s">
        <v>59</v>
      </c>
      <c r="J33" s="8" t="s">
        <v>119</v>
      </c>
      <c r="K33" s="29" t="str">
        <f>TEXT(EmployeeTable[[#This Row],[Joining Date]],"MM-DD-YYYY")</f>
        <v>05-02-2020</v>
      </c>
      <c r="L33" s="6">
        <v>109031</v>
      </c>
      <c r="M33" s="1" t="s">
        <v>120</v>
      </c>
      <c r="N33" s="1" t="s">
        <v>62</v>
      </c>
      <c r="O33" s="1">
        <v>4.0999999999999996</v>
      </c>
      <c r="P33" s="2">
        <v>7276</v>
      </c>
      <c r="Q33" s="2">
        <v>56717</v>
      </c>
      <c r="R33" s="1">
        <v>9.67</v>
      </c>
      <c r="S33" s="1">
        <v>23</v>
      </c>
      <c r="T33" s="1" t="s">
        <v>121</v>
      </c>
      <c r="U33" s="35" t="str">
        <f t="shared" si="0"/>
        <v>E</v>
      </c>
      <c r="V33" s="1" t="str">
        <f>_xlfn.CONCAT(EmployeeTable[[#This Row],[Region Code]],EmployeeTable[[#This Row],[Employee ID]],EmployeeTable[[#This Row],[First Name]],EmployeeTable[[#This Row],[Last Name]])</f>
        <v>E32DavidAdams</v>
      </c>
      <c r="W33" s="31" t="str">
        <f>IF(AND(EmployeeTable[[#This Row],[Performance Rating]]&gt;=4, EmployeeTable[[#This Row],[Bonus]]&gt;=0.1),"Eligible","Not Eligible")</f>
        <v>Eligible</v>
      </c>
      <c r="X33" s="1"/>
      <c r="Y33" s="3"/>
      <c r="Z33" s="5"/>
    </row>
    <row r="34" spans="1:26" ht="17.25" x14ac:dyDescent="0.3">
      <c r="A34" s="12">
        <v>33</v>
      </c>
      <c r="B34" s="26" t="str">
        <f>LOWER(_xlfn.CONCAT(EmployeeTable[[#This Row],[First Name]],".",EmployeeTable[[#This Row],[Last Name]],"@company.com"))</f>
        <v>carol.smith@company.com</v>
      </c>
      <c r="C34" s="1" t="s">
        <v>55</v>
      </c>
      <c r="D34" s="1" t="s">
        <v>66</v>
      </c>
      <c r="E34" s="1" t="s">
        <v>71</v>
      </c>
      <c r="F34" s="23" t="str">
        <f>LEFT(EmployeeTable[[#This Row],[First Name]],4)</f>
        <v>Caro</v>
      </c>
      <c r="G34" s="1"/>
      <c r="H34" s="1" t="s">
        <v>26</v>
      </c>
      <c r="I34" s="5" t="s">
        <v>27</v>
      </c>
      <c r="J34" s="7" t="s">
        <v>122</v>
      </c>
      <c r="K34" s="28" t="str">
        <f>TEXT(EmployeeTable[[#This Row],[Joining Date]],"MM-DD-YYYY")</f>
        <v>10-11-2016</v>
      </c>
      <c r="L34" s="6">
        <v>55545</v>
      </c>
      <c r="M34" s="1" t="s">
        <v>115</v>
      </c>
      <c r="N34" s="1" t="s">
        <v>62</v>
      </c>
      <c r="O34" s="1">
        <v>3.7</v>
      </c>
      <c r="P34" s="2">
        <v>7311</v>
      </c>
      <c r="Q34" s="2">
        <v>65820</v>
      </c>
      <c r="R34" s="1">
        <v>9.9700000000000006</v>
      </c>
      <c r="S34" s="1">
        <v>43</v>
      </c>
      <c r="T34" s="1" t="s">
        <v>39</v>
      </c>
      <c r="U34" s="35" t="str">
        <f t="shared" ref="U34:U65" si="1">SUBSTITUTE(SUBSTITUTE(SUBSTITUTE(SUBSTITUTE(N34,"North","N"),"East","E"),"South","S"),"West","W")</f>
        <v>E</v>
      </c>
      <c r="V34" s="1" t="str">
        <f>_xlfn.CONCAT(EmployeeTable[[#This Row],[Region Code]],EmployeeTable[[#This Row],[Employee ID]],EmployeeTable[[#This Row],[First Name]],EmployeeTable[[#This Row],[Last Name]])</f>
        <v>E33CarolSmith</v>
      </c>
      <c r="W34" s="31" t="str">
        <f>IF(AND(EmployeeTable[[#This Row],[Performance Rating]]&gt;=4, EmployeeTable[[#This Row],[Bonus]]&gt;=0.1),"Eligible","Not Eligible")</f>
        <v>Not Eligible</v>
      </c>
      <c r="X34" s="1"/>
      <c r="Y34" s="3"/>
      <c r="Z34" s="5"/>
    </row>
    <row r="35" spans="1:26" ht="17.25" x14ac:dyDescent="0.3">
      <c r="A35" s="12">
        <v>34</v>
      </c>
      <c r="B35" s="26" t="str">
        <f>LOWER(_xlfn.CONCAT(EmployeeTable[[#This Row],[First Name]],".",EmployeeTable[[#This Row],[Last Name]],"@company.com"))</f>
        <v>bob.green@company.com</v>
      </c>
      <c r="C35" s="1" t="s">
        <v>69</v>
      </c>
      <c r="D35" s="1" t="s">
        <v>24</v>
      </c>
      <c r="E35" s="1" t="s">
        <v>49</v>
      </c>
      <c r="F35" s="23" t="str">
        <f>LEFT(EmployeeTable[[#This Row],[First Name]],4)</f>
        <v>Bob</v>
      </c>
      <c r="G35" s="1"/>
      <c r="H35" s="1" t="s">
        <v>101</v>
      </c>
      <c r="I35" s="5" t="s">
        <v>102</v>
      </c>
      <c r="J35" s="8" t="s">
        <v>123</v>
      </c>
      <c r="K35" s="29" t="str">
        <f>TEXT(EmployeeTable[[#This Row],[Joining Date]],"MM-DD-YYYY")</f>
        <v>09-26-2020</v>
      </c>
      <c r="L35" s="6">
        <v>118247</v>
      </c>
      <c r="M35" s="1" t="s">
        <v>53</v>
      </c>
      <c r="N35" s="1" t="s">
        <v>54</v>
      </c>
      <c r="O35" s="1">
        <v>3.6</v>
      </c>
      <c r="P35" s="2">
        <v>7390</v>
      </c>
      <c r="Q35" s="2">
        <v>97054</v>
      </c>
      <c r="R35" s="1">
        <v>5.78</v>
      </c>
      <c r="S35" s="1">
        <v>56</v>
      </c>
      <c r="T35" s="1" t="s">
        <v>63</v>
      </c>
      <c r="U35" s="35" t="str">
        <f t="shared" si="1"/>
        <v>N</v>
      </c>
      <c r="V35" s="1" t="str">
        <f>_xlfn.CONCAT(EmployeeTable[[#This Row],[Region Code]],EmployeeTable[[#This Row],[Employee ID]],EmployeeTable[[#This Row],[First Name]],EmployeeTable[[#This Row],[Last Name]])</f>
        <v>N34BobGreen</v>
      </c>
      <c r="W35" s="31" t="str">
        <f>IF(AND(EmployeeTable[[#This Row],[Performance Rating]]&gt;=4, EmployeeTable[[#This Row],[Bonus]]&gt;=0.1),"Eligible","Not Eligible")</f>
        <v>Not Eligible</v>
      </c>
      <c r="X35" s="1"/>
      <c r="Y35" s="3"/>
      <c r="Z35" s="5"/>
    </row>
    <row r="36" spans="1:26" ht="17.25" x14ac:dyDescent="0.3">
      <c r="A36" s="12">
        <v>35</v>
      </c>
      <c r="B36" s="26" t="str">
        <f>LOWER(_xlfn.CONCAT(EmployeeTable[[#This Row],[First Name]],".",EmployeeTable[[#This Row],[Last Name]],"@company.com"))</f>
        <v>jack.brown@company.com</v>
      </c>
      <c r="C36" s="1" t="s">
        <v>40</v>
      </c>
      <c r="D36" s="1" t="s">
        <v>93</v>
      </c>
      <c r="E36" s="1" t="s">
        <v>57</v>
      </c>
      <c r="F36" s="23" t="str">
        <f>LEFT(EmployeeTable[[#This Row],[First Name]],4)</f>
        <v>Jack</v>
      </c>
      <c r="G36" s="1"/>
      <c r="H36" s="1" t="s">
        <v>101</v>
      </c>
      <c r="I36" s="5" t="s">
        <v>102</v>
      </c>
      <c r="J36" s="7" t="s">
        <v>124</v>
      </c>
      <c r="K36" s="28" t="str">
        <f>TEXT(EmployeeTable[[#This Row],[Joining Date]],"MM-DD-YYYY")</f>
        <v>11-28-2017</v>
      </c>
      <c r="L36" s="6">
        <v>63529</v>
      </c>
      <c r="M36" s="1" t="s">
        <v>97</v>
      </c>
      <c r="N36" s="1" t="s">
        <v>38</v>
      </c>
      <c r="O36" s="1">
        <v>4.3</v>
      </c>
      <c r="P36" s="2">
        <v>7675</v>
      </c>
      <c r="Q36" s="2">
        <v>49353</v>
      </c>
      <c r="R36" s="1">
        <v>5.45</v>
      </c>
      <c r="S36" s="1">
        <v>58</v>
      </c>
      <c r="T36" s="1" t="s">
        <v>46</v>
      </c>
      <c r="U36" s="35" t="str">
        <f t="shared" si="1"/>
        <v>W</v>
      </c>
      <c r="V36" s="1" t="str">
        <f>_xlfn.CONCAT(EmployeeTable[[#This Row],[Region Code]],EmployeeTable[[#This Row],[Employee ID]],EmployeeTable[[#This Row],[First Name]],EmployeeTable[[#This Row],[Last Name]])</f>
        <v>W35JackBrown</v>
      </c>
      <c r="W36" s="31" t="str">
        <f>IF(AND(EmployeeTable[[#This Row],[Performance Rating]]&gt;=4, EmployeeTable[[#This Row],[Bonus]]&gt;=0.1),"Eligible","Not Eligible")</f>
        <v>Eligible</v>
      </c>
      <c r="X36" s="1"/>
      <c r="Y36" s="3"/>
      <c r="Z36" s="5"/>
    </row>
    <row r="37" spans="1:26" ht="17.25" x14ac:dyDescent="0.3">
      <c r="A37" s="12">
        <v>36</v>
      </c>
      <c r="B37" s="26" t="str">
        <f>LOWER(_xlfn.CONCAT(EmployeeTable[[#This Row],[First Name]],".",EmployeeTable[[#This Row],[Last Name]],"@company.com"))</f>
        <v>alice.johnson@company.com</v>
      </c>
      <c r="C37" s="1" t="s">
        <v>40</v>
      </c>
      <c r="D37" s="1" t="s">
        <v>70</v>
      </c>
      <c r="E37" s="1" t="s">
        <v>73</v>
      </c>
      <c r="F37" s="23" t="str">
        <f>LEFT(EmployeeTable[[#This Row],[First Name]],4)</f>
        <v>Alic</v>
      </c>
      <c r="G37" s="1"/>
      <c r="H37" s="1" t="s">
        <v>26</v>
      </c>
      <c r="I37" s="5" t="s">
        <v>27</v>
      </c>
      <c r="J37" s="8" t="s">
        <v>125</v>
      </c>
      <c r="K37" s="29" t="str">
        <f>TEXT(EmployeeTable[[#This Row],[Joining Date]],"MM-DD-YYYY")</f>
        <v>03-30-2015</v>
      </c>
      <c r="L37" s="6">
        <v>88217</v>
      </c>
      <c r="M37" s="1" t="s">
        <v>97</v>
      </c>
      <c r="N37" s="1" t="s">
        <v>30</v>
      </c>
      <c r="O37" s="1">
        <v>4.4000000000000004</v>
      </c>
      <c r="P37" s="2">
        <v>7892</v>
      </c>
      <c r="Q37" s="2">
        <v>75733</v>
      </c>
      <c r="R37" s="1">
        <v>9.51</v>
      </c>
      <c r="S37" s="1">
        <v>23</v>
      </c>
      <c r="T37" s="1" t="s">
        <v>121</v>
      </c>
      <c r="U37" s="35" t="str">
        <f t="shared" si="1"/>
        <v>S</v>
      </c>
      <c r="V37" s="1" t="str">
        <f>_xlfn.CONCAT(EmployeeTable[[#This Row],[Region Code]],EmployeeTable[[#This Row],[Employee ID]],EmployeeTable[[#This Row],[First Name]],EmployeeTable[[#This Row],[Last Name]])</f>
        <v>S36AliceJohnson</v>
      </c>
      <c r="W37" s="31" t="str">
        <f>IF(AND(EmployeeTable[[#This Row],[Performance Rating]]&gt;=4, EmployeeTable[[#This Row],[Bonus]]&gt;=0.1),"Eligible","Not Eligible")</f>
        <v>Eligible</v>
      </c>
      <c r="X37" s="1"/>
      <c r="Y37" s="3"/>
      <c r="Z37" s="5"/>
    </row>
    <row r="38" spans="1:26" ht="17.25" x14ac:dyDescent="0.3">
      <c r="A38" s="12">
        <v>37</v>
      </c>
      <c r="B38" s="26" t="str">
        <f>LOWER(_xlfn.CONCAT(EmployeeTable[[#This Row],[First Name]],".",EmployeeTable[[#This Row],[Last Name]],"@company.com"))</f>
        <v>david.adams@company.com</v>
      </c>
      <c r="C38" s="1" t="s">
        <v>47</v>
      </c>
      <c r="D38" s="1" t="s">
        <v>32</v>
      </c>
      <c r="E38" s="1" t="s">
        <v>108</v>
      </c>
      <c r="F38" s="23" t="str">
        <f>LEFT(EmployeeTable[[#This Row],[First Name]],4)</f>
        <v>Davi</v>
      </c>
      <c r="G38" s="1"/>
      <c r="H38" s="1" t="s">
        <v>50</v>
      </c>
      <c r="I38" s="5" t="s">
        <v>51</v>
      </c>
      <c r="J38" s="7" t="s">
        <v>126</v>
      </c>
      <c r="K38" s="28" t="str">
        <f>TEXT(EmployeeTable[[#This Row],[Joining Date]],"MM-DD-YYYY")</f>
        <v>03-26-2018</v>
      </c>
      <c r="L38" s="6">
        <v>104157</v>
      </c>
      <c r="M38" s="1" t="s">
        <v>29</v>
      </c>
      <c r="N38" s="1" t="s">
        <v>62</v>
      </c>
      <c r="O38" s="1">
        <v>4.0999999999999996</v>
      </c>
      <c r="P38" s="2">
        <v>8184</v>
      </c>
      <c r="Q38" s="2">
        <v>44698</v>
      </c>
      <c r="R38" s="1">
        <v>4.46</v>
      </c>
      <c r="S38" s="1">
        <v>37</v>
      </c>
      <c r="T38" s="1" t="s">
        <v>98</v>
      </c>
      <c r="U38" s="35" t="str">
        <f t="shared" si="1"/>
        <v>E</v>
      </c>
      <c r="V38" s="1" t="str">
        <f>_xlfn.CONCAT(EmployeeTable[[#This Row],[Region Code]],EmployeeTable[[#This Row],[Employee ID]],EmployeeTable[[#This Row],[First Name]],EmployeeTable[[#This Row],[Last Name]])</f>
        <v>E37DavidAdams</v>
      </c>
      <c r="W38" s="31" t="str">
        <f>IF(AND(EmployeeTable[[#This Row],[Performance Rating]]&gt;=4, EmployeeTable[[#This Row],[Bonus]]&gt;=0.1),"Eligible","Not Eligible")</f>
        <v>Eligible</v>
      </c>
      <c r="X38" s="1"/>
      <c r="Y38" s="3"/>
      <c r="Z38" s="5"/>
    </row>
    <row r="39" spans="1:26" ht="17.25" x14ac:dyDescent="0.3">
      <c r="A39" s="12">
        <v>38</v>
      </c>
      <c r="B39" s="26" t="str">
        <f>LOWER(_xlfn.CONCAT(EmployeeTable[[#This Row],[First Name]],".",EmployeeTable[[#This Row],[Last Name]],"@company.com"))</f>
        <v>isla.taylor@company.com</v>
      </c>
      <c r="C39" s="1" t="s">
        <v>40</v>
      </c>
      <c r="D39" s="1" t="s">
        <v>87</v>
      </c>
      <c r="E39" s="1" t="s">
        <v>111</v>
      </c>
      <c r="F39" s="23" t="str">
        <f>LEFT(EmployeeTable[[#This Row],[First Name]],4)</f>
        <v>Isla</v>
      </c>
      <c r="G39" s="1"/>
      <c r="H39" s="1" t="s">
        <v>101</v>
      </c>
      <c r="I39" s="5" t="s">
        <v>102</v>
      </c>
      <c r="J39" s="8" t="s">
        <v>127</v>
      </c>
      <c r="K39" s="29" t="str">
        <f>TEXT(EmployeeTable[[#This Row],[Joining Date]],"MM-DD-YYYY")</f>
        <v>12-06-2019</v>
      </c>
      <c r="L39" s="6">
        <v>77365</v>
      </c>
      <c r="M39" s="1" t="s">
        <v>53</v>
      </c>
      <c r="N39" s="1" t="s">
        <v>62</v>
      </c>
      <c r="O39" s="1">
        <v>3.1</v>
      </c>
      <c r="P39" s="2">
        <v>8265</v>
      </c>
      <c r="Q39" s="2">
        <v>60636</v>
      </c>
      <c r="R39" s="1">
        <v>7.73</v>
      </c>
      <c r="S39" s="1">
        <v>19</v>
      </c>
      <c r="T39" s="1" t="s">
        <v>31</v>
      </c>
      <c r="U39" s="35" t="str">
        <f t="shared" si="1"/>
        <v>E</v>
      </c>
      <c r="V39" s="1" t="str">
        <f>_xlfn.CONCAT(EmployeeTable[[#This Row],[Region Code]],EmployeeTable[[#This Row],[Employee ID]],EmployeeTable[[#This Row],[First Name]],EmployeeTable[[#This Row],[Last Name]])</f>
        <v>E38IslaTaylor</v>
      </c>
      <c r="W39" s="31" t="str">
        <f>IF(AND(EmployeeTable[[#This Row],[Performance Rating]]&gt;=4, EmployeeTable[[#This Row],[Bonus]]&gt;=0.1),"Eligible","Not Eligible")</f>
        <v>Not Eligible</v>
      </c>
      <c r="X39" s="1"/>
      <c r="Y39" s="3"/>
      <c r="Z39" s="5"/>
    </row>
    <row r="40" spans="1:26" ht="17.25" x14ac:dyDescent="0.3">
      <c r="A40" s="12">
        <v>39</v>
      </c>
      <c r="B40" s="26" t="str">
        <f>LOWER(_xlfn.CONCAT(EmployeeTable[[#This Row],[First Name]],".",EmployeeTable[[#This Row],[Last Name]],"@company.com"))</f>
        <v>bob.taylor@company.com</v>
      </c>
      <c r="C40" s="1" t="s">
        <v>69</v>
      </c>
      <c r="D40" s="1" t="s">
        <v>24</v>
      </c>
      <c r="E40" s="1" t="s">
        <v>111</v>
      </c>
      <c r="F40" s="23" t="str">
        <f>LEFT(EmployeeTable[[#This Row],[First Name]],4)</f>
        <v>Bob</v>
      </c>
      <c r="G40" s="1"/>
      <c r="H40" s="1" t="s">
        <v>26</v>
      </c>
      <c r="I40" s="5" t="s">
        <v>27</v>
      </c>
      <c r="J40" s="7" t="s">
        <v>128</v>
      </c>
      <c r="K40" s="28" t="str">
        <f>TEXT(EmployeeTable[[#This Row],[Joining Date]],"MM-DD-YYYY")</f>
        <v>01-07-2017</v>
      </c>
      <c r="L40" s="6">
        <v>46331</v>
      </c>
      <c r="M40" s="1" t="s">
        <v>129</v>
      </c>
      <c r="N40" s="1" t="s">
        <v>38</v>
      </c>
      <c r="O40" s="1">
        <v>4.4000000000000004</v>
      </c>
      <c r="P40" s="2">
        <v>8331</v>
      </c>
      <c r="Q40" s="2">
        <v>48623</v>
      </c>
      <c r="R40" s="1">
        <v>4.96</v>
      </c>
      <c r="S40" s="1">
        <v>33</v>
      </c>
      <c r="T40" s="1" t="s">
        <v>31</v>
      </c>
      <c r="U40" s="35" t="str">
        <f t="shared" si="1"/>
        <v>W</v>
      </c>
      <c r="V40" s="1" t="str">
        <f>_xlfn.CONCAT(EmployeeTable[[#This Row],[Region Code]],EmployeeTable[[#This Row],[Employee ID]],EmployeeTable[[#This Row],[First Name]],EmployeeTable[[#This Row],[Last Name]])</f>
        <v>W39BobTaylor</v>
      </c>
      <c r="W40" s="31" t="str">
        <f>IF(AND(EmployeeTable[[#This Row],[Performance Rating]]&gt;=4, EmployeeTable[[#This Row],[Bonus]]&gt;=0.1),"Eligible","Not Eligible")</f>
        <v>Eligible</v>
      </c>
      <c r="X40" s="1"/>
      <c r="Y40" s="3"/>
      <c r="Z40" s="5"/>
    </row>
    <row r="41" spans="1:26" ht="17.25" x14ac:dyDescent="0.3">
      <c r="A41" s="12">
        <v>40</v>
      </c>
      <c r="B41" s="26" t="str">
        <f>LOWER(_xlfn.CONCAT(EmployeeTable[[#This Row],[First Name]],".",EmployeeTable[[#This Row],[Last Name]],"@company.com"))</f>
        <v>david.smith@company.com</v>
      </c>
      <c r="C41" s="1" t="s">
        <v>40</v>
      </c>
      <c r="D41" s="1" t="s">
        <v>32</v>
      </c>
      <c r="E41" s="1" t="s">
        <v>71</v>
      </c>
      <c r="F41" s="23" t="str">
        <f>LEFT(EmployeeTable[[#This Row],[First Name]],4)</f>
        <v>Davi</v>
      </c>
      <c r="G41" s="1"/>
      <c r="H41" s="1" t="s">
        <v>101</v>
      </c>
      <c r="I41" s="5" t="s">
        <v>102</v>
      </c>
      <c r="J41" s="8" t="s">
        <v>130</v>
      </c>
      <c r="K41" s="29" t="str">
        <f>TEXT(EmployeeTable[[#This Row],[Joining Date]],"MM-DD-YYYY")</f>
        <v>04-10-2022</v>
      </c>
      <c r="L41" s="6">
        <v>102678</v>
      </c>
      <c r="M41" s="1" t="s">
        <v>37</v>
      </c>
      <c r="N41" s="1" t="s">
        <v>38</v>
      </c>
      <c r="O41" s="1">
        <v>3.3</v>
      </c>
      <c r="P41" s="2">
        <v>8396</v>
      </c>
      <c r="Q41" s="2">
        <v>32299</v>
      </c>
      <c r="R41" s="1">
        <v>4.32</v>
      </c>
      <c r="S41" s="1">
        <v>33</v>
      </c>
      <c r="T41" s="1" t="s">
        <v>104</v>
      </c>
      <c r="U41" s="35" t="str">
        <f t="shared" si="1"/>
        <v>W</v>
      </c>
      <c r="V41" s="1" t="str">
        <f>_xlfn.CONCAT(EmployeeTable[[#This Row],[Region Code]],EmployeeTable[[#This Row],[Employee ID]],EmployeeTable[[#This Row],[First Name]],EmployeeTable[[#This Row],[Last Name]])</f>
        <v>W40DavidSmith</v>
      </c>
      <c r="W41" s="31" t="str">
        <f>IF(AND(EmployeeTable[[#This Row],[Performance Rating]]&gt;=4, EmployeeTable[[#This Row],[Bonus]]&gt;=0.1),"Eligible","Not Eligible")</f>
        <v>Not Eligible</v>
      </c>
      <c r="X41" s="1"/>
      <c r="Y41" s="3"/>
      <c r="Z41" s="5"/>
    </row>
    <row r="42" spans="1:26" ht="17.25" x14ac:dyDescent="0.3">
      <c r="A42" s="12">
        <v>41</v>
      </c>
      <c r="B42" s="26" t="str">
        <f>LOWER(_xlfn.CONCAT(EmployeeTable[[#This Row],[First Name]],".",EmployeeTable[[#This Row],[Last Name]],"@company.com"))</f>
        <v>henry.lee@company.com</v>
      </c>
      <c r="C42" s="1" t="s">
        <v>55</v>
      </c>
      <c r="D42" s="1" t="s">
        <v>48</v>
      </c>
      <c r="E42" s="1" t="s">
        <v>41</v>
      </c>
      <c r="F42" s="23" t="str">
        <f>LEFT(EmployeeTable[[#This Row],[First Name]],4)</f>
        <v>Henr</v>
      </c>
      <c r="G42" s="1"/>
      <c r="H42" s="1" t="s">
        <v>79</v>
      </c>
      <c r="I42" s="5" t="s">
        <v>80</v>
      </c>
      <c r="J42" s="7" t="s">
        <v>131</v>
      </c>
      <c r="K42" s="28" t="str">
        <f>TEXT(EmployeeTable[[#This Row],[Joining Date]],"MM-DD-YYYY")</f>
        <v>05-16-2016</v>
      </c>
      <c r="L42" s="6">
        <v>92354</v>
      </c>
      <c r="M42" s="1" t="s">
        <v>132</v>
      </c>
      <c r="N42" s="1" t="s">
        <v>30</v>
      </c>
      <c r="O42" s="1">
        <v>3.5</v>
      </c>
      <c r="P42" s="2">
        <v>8420</v>
      </c>
      <c r="Q42" s="2">
        <v>91734</v>
      </c>
      <c r="R42" s="1">
        <v>6.91</v>
      </c>
      <c r="S42" s="1">
        <v>33</v>
      </c>
      <c r="T42" s="1" t="s">
        <v>75</v>
      </c>
      <c r="U42" s="35" t="str">
        <f t="shared" si="1"/>
        <v>S</v>
      </c>
      <c r="V42" s="1" t="str">
        <f>_xlfn.CONCAT(EmployeeTable[[#This Row],[Region Code]],EmployeeTable[[#This Row],[Employee ID]],EmployeeTable[[#This Row],[First Name]],EmployeeTable[[#This Row],[Last Name]])</f>
        <v>S41HenryLee</v>
      </c>
      <c r="W42" s="31" t="str">
        <f>IF(AND(EmployeeTable[[#This Row],[Performance Rating]]&gt;=4, EmployeeTable[[#This Row],[Bonus]]&gt;=0.1),"Eligible","Not Eligible")</f>
        <v>Not Eligible</v>
      </c>
      <c r="X42" s="1"/>
      <c r="Y42" s="3"/>
      <c r="Z42" s="5"/>
    </row>
    <row r="43" spans="1:26" ht="17.25" x14ac:dyDescent="0.3">
      <c r="A43" s="12">
        <v>42</v>
      </c>
      <c r="B43" s="26" t="str">
        <f>LOWER(_xlfn.CONCAT(EmployeeTable[[#This Row],[First Name]],".",EmployeeTable[[#This Row],[Last Name]],"@company.com"))</f>
        <v>david.johnson@company.com</v>
      </c>
      <c r="C43" s="1" t="s">
        <v>23</v>
      </c>
      <c r="D43" s="1" t="s">
        <v>32</v>
      </c>
      <c r="E43" s="1" t="s">
        <v>73</v>
      </c>
      <c r="F43" s="23" t="str">
        <f>LEFT(EmployeeTable[[#This Row],[First Name]],4)</f>
        <v>Davi</v>
      </c>
      <c r="G43" s="1"/>
      <c r="H43" s="1" t="s">
        <v>79</v>
      </c>
      <c r="I43" s="5" t="s">
        <v>80</v>
      </c>
      <c r="J43" s="8" t="s">
        <v>133</v>
      </c>
      <c r="K43" s="29" t="str">
        <f>TEXT(EmployeeTable[[#This Row],[Joining Date]],"MM-DD-YYYY")</f>
        <v>08-02-2017</v>
      </c>
      <c r="L43" s="6">
        <v>103201</v>
      </c>
      <c r="M43" s="1" t="s">
        <v>82</v>
      </c>
      <c r="N43" s="1" t="s">
        <v>62</v>
      </c>
      <c r="O43" s="1">
        <v>4.5999999999999996</v>
      </c>
      <c r="P43" s="2">
        <v>8736</v>
      </c>
      <c r="Q43" s="2">
        <v>35342</v>
      </c>
      <c r="R43" s="1">
        <v>6.4</v>
      </c>
      <c r="S43" s="1">
        <v>58</v>
      </c>
      <c r="T43" s="1" t="s">
        <v>100</v>
      </c>
      <c r="U43" s="35" t="str">
        <f t="shared" si="1"/>
        <v>E</v>
      </c>
      <c r="V43" s="1" t="str">
        <f>_xlfn.CONCAT(EmployeeTable[[#This Row],[Region Code]],EmployeeTable[[#This Row],[Employee ID]],EmployeeTable[[#This Row],[First Name]],EmployeeTable[[#This Row],[Last Name]])</f>
        <v>E42DavidJohnson</v>
      </c>
      <c r="W43" s="31" t="str">
        <f>IF(AND(EmployeeTable[[#This Row],[Performance Rating]]&gt;=4, EmployeeTable[[#This Row],[Bonus]]&gt;=0.1),"Eligible","Not Eligible")</f>
        <v>Eligible</v>
      </c>
      <c r="X43" s="1"/>
      <c r="Y43" s="3"/>
      <c r="Z43" s="5"/>
    </row>
    <row r="44" spans="1:26" ht="17.25" x14ac:dyDescent="0.3">
      <c r="A44" s="12">
        <v>43</v>
      </c>
      <c r="B44" s="26" t="str">
        <f>LOWER(_xlfn.CONCAT(EmployeeTable[[#This Row],[First Name]],".",EmployeeTable[[#This Row],[Last Name]],"@company.com"))</f>
        <v>bob.clark@company.com</v>
      </c>
      <c r="C44" s="1" t="s">
        <v>40</v>
      </c>
      <c r="D44" s="1" t="s">
        <v>24</v>
      </c>
      <c r="E44" s="1" t="s">
        <v>25</v>
      </c>
      <c r="F44" s="23" t="str">
        <f>LEFT(EmployeeTable[[#This Row],[First Name]],4)</f>
        <v>Bob</v>
      </c>
      <c r="G44" s="1"/>
      <c r="H44" s="1" t="s">
        <v>83</v>
      </c>
      <c r="I44" s="5" t="s">
        <v>84</v>
      </c>
      <c r="J44" s="7" t="s">
        <v>134</v>
      </c>
      <c r="K44" s="28" t="str">
        <f>TEXT(EmployeeTable[[#This Row],[Joining Date]],"MM-DD-YYYY")</f>
        <v>04-25-2018</v>
      </c>
      <c r="L44" s="6">
        <v>112236</v>
      </c>
      <c r="M44" s="1" t="s">
        <v>120</v>
      </c>
      <c r="N44" s="1" t="s">
        <v>30</v>
      </c>
      <c r="O44" s="1">
        <v>4.7</v>
      </c>
      <c r="P44" s="2">
        <v>8873</v>
      </c>
      <c r="Q44" s="2">
        <v>56576</v>
      </c>
      <c r="R44" s="1">
        <v>6.04</v>
      </c>
      <c r="S44" s="1">
        <v>12</v>
      </c>
      <c r="T44" s="1" t="s">
        <v>104</v>
      </c>
      <c r="U44" s="35" t="str">
        <f t="shared" si="1"/>
        <v>S</v>
      </c>
      <c r="V44" s="1" t="str">
        <f>_xlfn.CONCAT(EmployeeTable[[#This Row],[Region Code]],EmployeeTable[[#This Row],[Employee ID]],EmployeeTable[[#This Row],[First Name]],EmployeeTable[[#This Row],[Last Name]])</f>
        <v>S43BobClark</v>
      </c>
      <c r="W44" s="31" t="str">
        <f>IF(AND(EmployeeTable[[#This Row],[Performance Rating]]&gt;=4, EmployeeTable[[#This Row],[Bonus]]&gt;=0.1),"Eligible","Not Eligible")</f>
        <v>Eligible</v>
      </c>
      <c r="X44" s="1"/>
      <c r="Y44" s="3"/>
      <c r="Z44" s="5"/>
    </row>
    <row r="45" spans="1:26" ht="17.25" x14ac:dyDescent="0.3">
      <c r="A45" s="12">
        <v>44</v>
      </c>
      <c r="B45" s="26" t="str">
        <f>LOWER(_xlfn.CONCAT(EmployeeTable[[#This Row],[First Name]],".",EmployeeTable[[#This Row],[Last Name]],"@company.com"))</f>
        <v>henry.taylor@company.com</v>
      </c>
      <c r="C45" s="1" t="s">
        <v>23</v>
      </c>
      <c r="D45" s="1" t="s">
        <v>48</v>
      </c>
      <c r="E45" s="1" t="s">
        <v>111</v>
      </c>
      <c r="F45" s="23" t="str">
        <f>LEFT(EmployeeTable[[#This Row],[First Name]],4)</f>
        <v>Henr</v>
      </c>
      <c r="G45" s="1"/>
      <c r="H45" s="1" t="s">
        <v>79</v>
      </c>
      <c r="I45" s="5" t="s">
        <v>80</v>
      </c>
      <c r="J45" s="8" t="s">
        <v>135</v>
      </c>
      <c r="K45" s="29" t="str">
        <f>TEXT(EmployeeTable[[#This Row],[Joining Date]],"MM-DD-YYYY")</f>
        <v>09-04-2022</v>
      </c>
      <c r="L45" s="6">
        <v>67179</v>
      </c>
      <c r="M45" s="1" t="s">
        <v>91</v>
      </c>
      <c r="N45" s="1" t="s">
        <v>62</v>
      </c>
      <c r="O45" s="1">
        <v>3.8</v>
      </c>
      <c r="P45" s="2">
        <v>9208</v>
      </c>
      <c r="Q45" s="2">
        <v>65680</v>
      </c>
      <c r="R45" s="1">
        <v>8.23</v>
      </c>
      <c r="S45" s="1">
        <v>14</v>
      </c>
      <c r="T45" s="1" t="s">
        <v>100</v>
      </c>
      <c r="U45" s="35" t="str">
        <f t="shared" si="1"/>
        <v>E</v>
      </c>
      <c r="V45" s="1" t="str">
        <f>_xlfn.CONCAT(EmployeeTable[[#This Row],[Region Code]],EmployeeTable[[#This Row],[Employee ID]],EmployeeTable[[#This Row],[First Name]],EmployeeTable[[#This Row],[Last Name]])</f>
        <v>E44HenryTaylor</v>
      </c>
      <c r="W45" s="31" t="str">
        <f>IF(AND(EmployeeTable[[#This Row],[Performance Rating]]&gt;=4, EmployeeTable[[#This Row],[Bonus]]&gt;=0.1),"Eligible","Not Eligible")</f>
        <v>Not Eligible</v>
      </c>
      <c r="X45" s="1"/>
      <c r="Y45" s="3"/>
      <c r="Z45" s="5"/>
    </row>
    <row r="46" spans="1:26" ht="17.25" x14ac:dyDescent="0.3">
      <c r="A46" s="12">
        <v>45</v>
      </c>
      <c r="B46" s="26" t="str">
        <f>LOWER(_xlfn.CONCAT(EmployeeTable[[#This Row],[First Name]],".",EmployeeTable[[#This Row],[Last Name]],"@company.com"))</f>
        <v>david.brown@company.com</v>
      </c>
      <c r="C46" s="1" t="s">
        <v>69</v>
      </c>
      <c r="D46" s="1" t="s">
        <v>32</v>
      </c>
      <c r="E46" s="1" t="s">
        <v>57</v>
      </c>
      <c r="F46" s="23" t="str">
        <f>LEFT(EmployeeTable[[#This Row],[First Name]],4)</f>
        <v>Davi</v>
      </c>
      <c r="G46" s="1"/>
      <c r="H46" s="1" t="s">
        <v>26</v>
      </c>
      <c r="I46" s="5" t="s">
        <v>27</v>
      </c>
      <c r="J46" s="7" t="s">
        <v>136</v>
      </c>
      <c r="K46" s="28" t="str">
        <f>TEXT(EmployeeTable[[#This Row],[Joining Date]],"MM-DD-YYYY")</f>
        <v>03-11-2022</v>
      </c>
      <c r="L46" s="6">
        <v>52311</v>
      </c>
      <c r="M46" s="1" t="s">
        <v>29</v>
      </c>
      <c r="N46" s="1" t="s">
        <v>62</v>
      </c>
      <c r="O46" s="1">
        <v>3.4</v>
      </c>
      <c r="P46" s="2">
        <v>9629</v>
      </c>
      <c r="Q46" s="2">
        <v>99474</v>
      </c>
      <c r="R46" s="1">
        <v>6.49</v>
      </c>
      <c r="S46" s="1">
        <v>51</v>
      </c>
      <c r="T46" s="1" t="s">
        <v>31</v>
      </c>
      <c r="U46" s="35" t="str">
        <f t="shared" si="1"/>
        <v>E</v>
      </c>
      <c r="V46" s="1" t="str">
        <f>_xlfn.CONCAT(EmployeeTable[[#This Row],[Region Code]],EmployeeTable[[#This Row],[Employee ID]],EmployeeTable[[#This Row],[First Name]],EmployeeTable[[#This Row],[Last Name]])</f>
        <v>E45DavidBrown</v>
      </c>
      <c r="W46" s="31" t="str">
        <f>IF(AND(EmployeeTable[[#This Row],[Performance Rating]]&gt;=4, EmployeeTable[[#This Row],[Bonus]]&gt;=0.1),"Eligible","Not Eligible")</f>
        <v>Not Eligible</v>
      </c>
      <c r="X46" s="1"/>
      <c r="Y46" s="3"/>
      <c r="Z46" s="5"/>
    </row>
    <row r="47" spans="1:26" ht="17.25" x14ac:dyDescent="0.3">
      <c r="A47" s="12">
        <v>46</v>
      </c>
      <c r="B47" s="26" t="str">
        <f>LOWER(_xlfn.CONCAT(EmployeeTable[[#This Row],[First Name]],".",EmployeeTable[[#This Row],[Last Name]],"@company.com"))</f>
        <v>isla.davis@company.com</v>
      </c>
      <c r="C47" s="1" t="s">
        <v>55</v>
      </c>
      <c r="D47" s="1" t="s">
        <v>87</v>
      </c>
      <c r="E47" s="1" t="s">
        <v>76</v>
      </c>
      <c r="F47" s="23" t="str">
        <f>LEFT(EmployeeTable[[#This Row],[First Name]],4)</f>
        <v>Isla</v>
      </c>
      <c r="G47" s="1"/>
      <c r="H47" s="1" t="s">
        <v>26</v>
      </c>
      <c r="I47" s="5" t="s">
        <v>27</v>
      </c>
      <c r="J47" s="8" t="s">
        <v>137</v>
      </c>
      <c r="K47" s="29" t="str">
        <f>TEXT(EmployeeTable[[#This Row],[Joining Date]],"MM-DD-YYYY")</f>
        <v>05-20-2021</v>
      </c>
      <c r="L47" s="6">
        <v>107183</v>
      </c>
      <c r="M47" s="1" t="s">
        <v>132</v>
      </c>
      <c r="N47" s="1" t="s">
        <v>62</v>
      </c>
      <c r="O47" s="1">
        <v>5</v>
      </c>
      <c r="P47" s="2">
        <v>9989</v>
      </c>
      <c r="Q47" s="2">
        <v>78840</v>
      </c>
      <c r="R47" s="1">
        <v>9.85</v>
      </c>
      <c r="S47" s="1">
        <v>20</v>
      </c>
      <c r="T47" s="1" t="s">
        <v>98</v>
      </c>
      <c r="U47" s="35" t="str">
        <f t="shared" si="1"/>
        <v>E</v>
      </c>
      <c r="V47" s="1" t="str">
        <f>_xlfn.CONCAT(EmployeeTable[[#This Row],[Region Code]],EmployeeTable[[#This Row],[Employee ID]],EmployeeTable[[#This Row],[First Name]],EmployeeTable[[#This Row],[Last Name]])</f>
        <v>E46IslaDavis</v>
      </c>
      <c r="W47" s="31" t="str">
        <f>IF(AND(EmployeeTable[[#This Row],[Performance Rating]]&gt;=4, EmployeeTable[[#This Row],[Bonus]]&gt;=0.1),"Eligible","Not Eligible")</f>
        <v>Eligible</v>
      </c>
      <c r="X47" s="1"/>
      <c r="Y47" s="3"/>
      <c r="Z47" s="5"/>
    </row>
    <row r="48" spans="1:26" ht="17.25" x14ac:dyDescent="0.3">
      <c r="A48" s="12">
        <v>47</v>
      </c>
      <c r="B48" s="26" t="str">
        <f>LOWER(_xlfn.CONCAT(EmployeeTable[[#This Row],[First Name]],".",EmployeeTable[[#This Row],[Last Name]],"@company.com"))</f>
        <v>jack.miller@company.com</v>
      </c>
      <c r="C48" s="1" t="s">
        <v>69</v>
      </c>
      <c r="D48" s="1" t="s">
        <v>93</v>
      </c>
      <c r="E48" s="1" t="s">
        <v>33</v>
      </c>
      <c r="F48" s="23" t="str">
        <f>LEFT(EmployeeTable[[#This Row],[First Name]],4)</f>
        <v>Jack</v>
      </c>
      <c r="G48" s="1"/>
      <c r="H48" s="1" t="s">
        <v>79</v>
      </c>
      <c r="I48" s="5" t="s">
        <v>80</v>
      </c>
      <c r="J48" s="7" t="s">
        <v>138</v>
      </c>
      <c r="K48" s="28" t="str">
        <f>TEXT(EmployeeTable[[#This Row],[Joining Date]],"MM-DD-YYYY")</f>
        <v>04-14-2019</v>
      </c>
      <c r="L48" s="6">
        <v>111417</v>
      </c>
      <c r="M48" s="1" t="s">
        <v>120</v>
      </c>
      <c r="N48" s="1" t="s">
        <v>54</v>
      </c>
      <c r="O48" s="1">
        <v>3.3</v>
      </c>
      <c r="P48" s="2">
        <v>10006</v>
      </c>
      <c r="Q48" s="2">
        <v>36309</v>
      </c>
      <c r="R48" s="1">
        <v>7.01</v>
      </c>
      <c r="S48" s="1">
        <v>48</v>
      </c>
      <c r="T48" s="1" t="s">
        <v>92</v>
      </c>
      <c r="U48" s="35" t="str">
        <f t="shared" si="1"/>
        <v>N</v>
      </c>
      <c r="V48" s="1" t="str">
        <f>_xlfn.CONCAT(EmployeeTable[[#This Row],[Region Code]],EmployeeTable[[#This Row],[Employee ID]],EmployeeTable[[#This Row],[First Name]],EmployeeTable[[#This Row],[Last Name]])</f>
        <v>N47JackMiller</v>
      </c>
      <c r="W48" s="31" t="str">
        <f>IF(AND(EmployeeTable[[#This Row],[Performance Rating]]&gt;=4, EmployeeTable[[#This Row],[Bonus]]&gt;=0.1),"Eligible","Not Eligible")</f>
        <v>Not Eligible</v>
      </c>
      <c r="X48" s="1"/>
      <c r="Y48" s="3"/>
      <c r="Z48" s="5"/>
    </row>
    <row r="49" spans="1:26" ht="17.25" x14ac:dyDescent="0.3">
      <c r="A49" s="12">
        <v>48</v>
      </c>
      <c r="B49" s="26" t="str">
        <f>LOWER(_xlfn.CONCAT(EmployeeTable[[#This Row],[First Name]],".",EmployeeTable[[#This Row],[Last Name]],"@company.com"))</f>
        <v>eva.davis@company.com</v>
      </c>
      <c r="C49" s="1" t="s">
        <v>69</v>
      </c>
      <c r="D49" s="1" t="s">
        <v>78</v>
      </c>
      <c r="E49" s="1" t="s">
        <v>76</v>
      </c>
      <c r="F49" s="23" t="str">
        <f>LEFT(EmployeeTable[[#This Row],[First Name]],4)</f>
        <v>Eva</v>
      </c>
      <c r="G49" s="1"/>
      <c r="H49" s="1" t="s">
        <v>58</v>
      </c>
      <c r="I49" s="5" t="s">
        <v>59</v>
      </c>
      <c r="J49" s="8" t="s">
        <v>139</v>
      </c>
      <c r="K49" s="29" t="str">
        <f>TEXT(EmployeeTable[[#This Row],[Joining Date]],"MM-DD-YYYY")</f>
        <v>06-30-2020</v>
      </c>
      <c r="L49" s="6">
        <v>114199</v>
      </c>
      <c r="M49" s="1" t="s">
        <v>29</v>
      </c>
      <c r="N49" s="1" t="s">
        <v>62</v>
      </c>
      <c r="O49" s="1">
        <v>3.9</v>
      </c>
      <c r="P49" s="2">
        <v>10110</v>
      </c>
      <c r="Q49" s="2">
        <v>82082</v>
      </c>
      <c r="R49" s="1">
        <v>5.94</v>
      </c>
      <c r="S49" s="1">
        <v>16</v>
      </c>
      <c r="T49" s="1" t="s">
        <v>100</v>
      </c>
      <c r="U49" s="35" t="str">
        <f t="shared" si="1"/>
        <v>E</v>
      </c>
      <c r="V49" s="1" t="str">
        <f>_xlfn.CONCAT(EmployeeTable[[#This Row],[Region Code]],EmployeeTable[[#This Row],[Employee ID]],EmployeeTable[[#This Row],[First Name]],EmployeeTable[[#This Row],[Last Name]])</f>
        <v>E48EvaDavis</v>
      </c>
      <c r="W49" s="31" t="str">
        <f>IF(AND(EmployeeTable[[#This Row],[Performance Rating]]&gt;=4, EmployeeTable[[#This Row],[Bonus]]&gt;=0.1),"Eligible","Not Eligible")</f>
        <v>Not Eligible</v>
      </c>
      <c r="X49" s="1"/>
      <c r="Y49" s="3"/>
      <c r="Z49" s="5"/>
    </row>
    <row r="50" spans="1:26" ht="17.25" x14ac:dyDescent="0.3">
      <c r="A50" s="12">
        <v>49</v>
      </c>
      <c r="B50" s="26" t="str">
        <f>LOWER(_xlfn.CONCAT(EmployeeTable[[#This Row],[First Name]],".",EmployeeTable[[#This Row],[Last Name]],"@company.com"))</f>
        <v>eva.smith@company.com</v>
      </c>
      <c r="C50" s="1" t="s">
        <v>47</v>
      </c>
      <c r="D50" s="1" t="s">
        <v>78</v>
      </c>
      <c r="E50" s="1" t="s">
        <v>71</v>
      </c>
      <c r="F50" s="23" t="str">
        <f>LEFT(EmployeeTable[[#This Row],[First Name]],4)</f>
        <v>Eva</v>
      </c>
      <c r="G50" s="1"/>
      <c r="H50" s="1" t="s">
        <v>101</v>
      </c>
      <c r="I50" s="5" t="s">
        <v>102</v>
      </c>
      <c r="J50" s="7" t="s">
        <v>140</v>
      </c>
      <c r="K50" s="28" t="str">
        <f>TEXT(EmployeeTable[[#This Row],[Joining Date]],"MM-DD-YYYY")</f>
        <v>03-03-2020</v>
      </c>
      <c r="L50" s="6">
        <v>67094</v>
      </c>
      <c r="M50" s="1" t="s">
        <v>115</v>
      </c>
      <c r="N50" s="1" t="s">
        <v>54</v>
      </c>
      <c r="O50" s="1">
        <v>3.5</v>
      </c>
      <c r="P50" s="2">
        <v>10226</v>
      </c>
      <c r="Q50" s="2">
        <v>68053</v>
      </c>
      <c r="R50" s="1">
        <v>5.57</v>
      </c>
      <c r="S50" s="1">
        <v>41</v>
      </c>
      <c r="T50" s="1" t="s">
        <v>98</v>
      </c>
      <c r="U50" s="35" t="str">
        <f t="shared" si="1"/>
        <v>N</v>
      </c>
      <c r="V50" s="1" t="str">
        <f>_xlfn.CONCAT(EmployeeTable[[#This Row],[Region Code]],EmployeeTable[[#This Row],[Employee ID]],EmployeeTable[[#This Row],[First Name]],EmployeeTable[[#This Row],[Last Name]])</f>
        <v>N49EvaSmith</v>
      </c>
      <c r="W50" s="31" t="str">
        <f>IF(AND(EmployeeTable[[#This Row],[Performance Rating]]&gt;=4, EmployeeTable[[#This Row],[Bonus]]&gt;=0.1),"Eligible","Not Eligible")</f>
        <v>Not Eligible</v>
      </c>
      <c r="X50" s="1"/>
      <c r="Y50" s="3"/>
      <c r="Z50" s="5"/>
    </row>
    <row r="51" spans="1:26" ht="17.25" x14ac:dyDescent="0.3">
      <c r="A51" s="12">
        <v>50</v>
      </c>
      <c r="B51" s="26" t="str">
        <f>LOWER(_xlfn.CONCAT(EmployeeTable[[#This Row],[First Name]],".",EmployeeTable[[#This Row],[Last Name]],"@company.com"))</f>
        <v>isla.taylor@company.com</v>
      </c>
      <c r="C51" s="1" t="s">
        <v>23</v>
      </c>
      <c r="D51" s="1" t="s">
        <v>87</v>
      </c>
      <c r="E51" s="1" t="s">
        <v>111</v>
      </c>
      <c r="F51" s="23" t="str">
        <f>LEFT(EmployeeTable[[#This Row],[First Name]],4)</f>
        <v>Isla</v>
      </c>
      <c r="G51" s="1"/>
      <c r="H51" s="1" t="s">
        <v>101</v>
      </c>
      <c r="I51" s="5" t="s">
        <v>102</v>
      </c>
      <c r="J51" s="8" t="s">
        <v>141</v>
      </c>
      <c r="K51" s="29" t="str">
        <f>TEXT(EmployeeTable[[#This Row],[Joining Date]],"MM-DD-YYYY")</f>
        <v>11-21-2015</v>
      </c>
      <c r="L51" s="6">
        <v>54658</v>
      </c>
      <c r="M51" s="1" t="s">
        <v>29</v>
      </c>
      <c r="N51" s="1" t="s">
        <v>30</v>
      </c>
      <c r="O51" s="1">
        <v>4.3</v>
      </c>
      <c r="P51" s="2">
        <v>10322</v>
      </c>
      <c r="Q51" s="2">
        <v>81910</v>
      </c>
      <c r="R51" s="1">
        <v>4.22</v>
      </c>
      <c r="S51" s="1">
        <v>26</v>
      </c>
      <c r="T51" s="1" t="s">
        <v>100</v>
      </c>
      <c r="U51" s="35" t="str">
        <f t="shared" si="1"/>
        <v>S</v>
      </c>
      <c r="V51" s="1" t="str">
        <f>_xlfn.CONCAT(EmployeeTable[[#This Row],[Region Code]],EmployeeTable[[#This Row],[Employee ID]],EmployeeTable[[#This Row],[First Name]],EmployeeTable[[#This Row],[Last Name]])</f>
        <v>S50IslaTaylor</v>
      </c>
      <c r="W51" s="31" t="str">
        <f>IF(AND(EmployeeTable[[#This Row],[Performance Rating]]&gt;=4, EmployeeTable[[#This Row],[Bonus]]&gt;=0.1),"Eligible","Not Eligible")</f>
        <v>Eligible</v>
      </c>
      <c r="X51" s="1"/>
      <c r="Y51" s="3"/>
      <c r="Z51" s="5"/>
    </row>
    <row r="52" spans="1:26" ht="17.25" x14ac:dyDescent="0.3">
      <c r="A52" s="12">
        <v>51</v>
      </c>
      <c r="B52" s="26" t="str">
        <f>LOWER(_xlfn.CONCAT(EmployeeTable[[#This Row],[First Name]],".",EmployeeTable[[#This Row],[Last Name]],"@company.com"))</f>
        <v>david.brown@company.com</v>
      </c>
      <c r="C52" s="1" t="s">
        <v>23</v>
      </c>
      <c r="D52" s="1" t="s">
        <v>32</v>
      </c>
      <c r="E52" s="1" t="s">
        <v>57</v>
      </c>
      <c r="F52" s="23" t="str">
        <f>LEFT(EmployeeTable[[#This Row],[First Name]],4)</f>
        <v>Davi</v>
      </c>
      <c r="G52" s="1"/>
      <c r="H52" s="1" t="s">
        <v>50</v>
      </c>
      <c r="I52" s="5" t="s">
        <v>51</v>
      </c>
      <c r="J52" s="7" t="s">
        <v>142</v>
      </c>
      <c r="K52" s="28" t="str">
        <f>TEXT(EmployeeTable[[#This Row],[Joining Date]],"MM-DD-YYYY")</f>
        <v>07-11-2019</v>
      </c>
      <c r="L52" s="6">
        <v>54856</v>
      </c>
      <c r="M52" s="1" t="s">
        <v>89</v>
      </c>
      <c r="N52" s="1" t="s">
        <v>54</v>
      </c>
      <c r="O52" s="1">
        <v>3.2</v>
      </c>
      <c r="P52" s="2">
        <v>10392</v>
      </c>
      <c r="Q52" s="2">
        <v>90623</v>
      </c>
      <c r="R52" s="1">
        <v>7.7</v>
      </c>
      <c r="S52" s="1">
        <v>37</v>
      </c>
      <c r="T52" s="1" t="s">
        <v>39</v>
      </c>
      <c r="U52" s="35" t="str">
        <f t="shared" si="1"/>
        <v>N</v>
      </c>
      <c r="V52" s="1" t="str">
        <f>_xlfn.CONCAT(EmployeeTable[[#This Row],[Region Code]],EmployeeTable[[#This Row],[Employee ID]],EmployeeTable[[#This Row],[First Name]],EmployeeTable[[#This Row],[Last Name]])</f>
        <v>N51DavidBrown</v>
      </c>
      <c r="W52" s="31" t="str">
        <f>IF(AND(EmployeeTable[[#This Row],[Performance Rating]]&gt;=4, EmployeeTable[[#This Row],[Bonus]]&gt;=0.1),"Eligible","Not Eligible")</f>
        <v>Not Eligible</v>
      </c>
      <c r="X52" s="1"/>
      <c r="Y52" s="3"/>
      <c r="Z52" s="5"/>
    </row>
    <row r="53" spans="1:26" ht="17.25" x14ac:dyDescent="0.3">
      <c r="A53" s="12">
        <v>52</v>
      </c>
      <c r="B53" s="26" t="str">
        <f>LOWER(_xlfn.CONCAT(EmployeeTable[[#This Row],[First Name]],".",EmployeeTable[[#This Row],[Last Name]],"@company.com"))</f>
        <v>david.davis@company.com</v>
      </c>
      <c r="C53" s="1" t="s">
        <v>23</v>
      </c>
      <c r="D53" s="1" t="s">
        <v>32</v>
      </c>
      <c r="E53" s="1" t="s">
        <v>76</v>
      </c>
      <c r="F53" s="23" t="str">
        <f>LEFT(EmployeeTable[[#This Row],[First Name]],4)</f>
        <v>Davi</v>
      </c>
      <c r="G53" s="1"/>
      <c r="H53" s="1" t="s">
        <v>79</v>
      </c>
      <c r="I53" s="5" t="s">
        <v>80</v>
      </c>
      <c r="J53" s="8" t="s">
        <v>143</v>
      </c>
      <c r="K53" s="29" t="str">
        <f>TEXT(EmployeeTable[[#This Row],[Joining Date]],"MM-DD-YYYY")</f>
        <v>11-02-2022</v>
      </c>
      <c r="L53" s="6">
        <v>105417</v>
      </c>
      <c r="M53" s="1" t="s">
        <v>29</v>
      </c>
      <c r="N53" s="1" t="s">
        <v>30</v>
      </c>
      <c r="O53" s="1">
        <v>4.8</v>
      </c>
      <c r="P53" s="2">
        <v>10433</v>
      </c>
      <c r="Q53" s="2">
        <v>33776</v>
      </c>
      <c r="R53" s="1">
        <v>6.4</v>
      </c>
      <c r="S53" s="1">
        <v>41</v>
      </c>
      <c r="T53" s="1" t="s">
        <v>104</v>
      </c>
      <c r="U53" s="35" t="str">
        <f t="shared" si="1"/>
        <v>S</v>
      </c>
      <c r="V53" s="1" t="str">
        <f>_xlfn.CONCAT(EmployeeTable[[#This Row],[Region Code]],EmployeeTable[[#This Row],[Employee ID]],EmployeeTable[[#This Row],[First Name]],EmployeeTable[[#This Row],[Last Name]])</f>
        <v>S52DavidDavis</v>
      </c>
      <c r="W53" s="31" t="str">
        <f>IF(AND(EmployeeTable[[#This Row],[Performance Rating]]&gt;=4, EmployeeTable[[#This Row],[Bonus]]&gt;=0.1),"Eligible","Not Eligible")</f>
        <v>Eligible</v>
      </c>
      <c r="X53" s="1"/>
      <c r="Y53" s="3"/>
      <c r="Z53" s="5"/>
    </row>
    <row r="54" spans="1:26" ht="17.25" x14ac:dyDescent="0.3">
      <c r="A54" s="12">
        <v>53</v>
      </c>
      <c r="B54" s="26" t="str">
        <f>LOWER(_xlfn.CONCAT(EmployeeTable[[#This Row],[First Name]],".",EmployeeTable[[#This Row],[Last Name]],"@company.com"))</f>
        <v>henry.smith@company.com</v>
      </c>
      <c r="C54" s="1" t="s">
        <v>40</v>
      </c>
      <c r="D54" s="1" t="s">
        <v>48</v>
      </c>
      <c r="E54" s="1" t="s">
        <v>71</v>
      </c>
      <c r="F54" s="23" t="str">
        <f>LEFT(EmployeeTable[[#This Row],[First Name]],4)</f>
        <v>Henr</v>
      </c>
      <c r="G54" s="1"/>
      <c r="H54" s="1" t="s">
        <v>26</v>
      </c>
      <c r="I54" s="5" t="s">
        <v>27</v>
      </c>
      <c r="J54" s="7" t="s">
        <v>144</v>
      </c>
      <c r="K54" s="28" t="str">
        <f>TEXT(EmployeeTable[[#This Row],[Joining Date]],"MM-DD-YYYY")</f>
        <v>06-08-2022</v>
      </c>
      <c r="L54" s="6">
        <v>103903</v>
      </c>
      <c r="M54" s="1" t="s">
        <v>129</v>
      </c>
      <c r="N54" s="1" t="s">
        <v>30</v>
      </c>
      <c r="O54" s="1">
        <v>3.1</v>
      </c>
      <c r="P54" s="2">
        <v>10529</v>
      </c>
      <c r="Q54" s="2">
        <v>77172</v>
      </c>
      <c r="R54" s="1">
        <v>8.3800000000000008</v>
      </c>
      <c r="S54" s="1">
        <v>12</v>
      </c>
      <c r="T54" s="1" t="s">
        <v>121</v>
      </c>
      <c r="U54" s="35" t="str">
        <f t="shared" si="1"/>
        <v>S</v>
      </c>
      <c r="V54" s="1" t="str">
        <f>_xlfn.CONCAT(EmployeeTable[[#This Row],[Region Code]],EmployeeTable[[#This Row],[Employee ID]],EmployeeTable[[#This Row],[First Name]],EmployeeTable[[#This Row],[Last Name]])</f>
        <v>S53HenrySmith</v>
      </c>
      <c r="W54" s="31" t="str">
        <f>IF(AND(EmployeeTable[[#This Row],[Performance Rating]]&gt;=4, EmployeeTable[[#This Row],[Bonus]]&gt;=0.1),"Eligible","Not Eligible")</f>
        <v>Not Eligible</v>
      </c>
      <c r="X54" s="1"/>
      <c r="Y54" s="3"/>
      <c r="Z54" s="5"/>
    </row>
    <row r="55" spans="1:26" ht="17.25" x14ac:dyDescent="0.3">
      <c r="A55" s="12">
        <v>54</v>
      </c>
      <c r="B55" s="26" t="str">
        <f>LOWER(_xlfn.CONCAT(EmployeeTable[[#This Row],[First Name]],".",EmployeeTable[[#This Row],[Last Name]],"@company.com"))</f>
        <v>alice.brown@company.com</v>
      </c>
      <c r="C55" s="1" t="s">
        <v>47</v>
      </c>
      <c r="D55" s="1" t="s">
        <v>70</v>
      </c>
      <c r="E55" s="1" t="s">
        <v>57</v>
      </c>
      <c r="F55" s="23" t="str">
        <f>LEFT(EmployeeTable[[#This Row],[First Name]],4)</f>
        <v>Alic</v>
      </c>
      <c r="G55" s="1"/>
      <c r="H55" s="1" t="s">
        <v>50</v>
      </c>
      <c r="I55" s="5" t="s">
        <v>51</v>
      </c>
      <c r="J55" s="8" t="s">
        <v>145</v>
      </c>
      <c r="K55" s="29" t="str">
        <f>TEXT(EmployeeTable[[#This Row],[Joining Date]],"MM-DD-YYYY")</f>
        <v>10-15-2021</v>
      </c>
      <c r="L55" s="6">
        <v>85359</v>
      </c>
      <c r="M55" s="1" t="s">
        <v>29</v>
      </c>
      <c r="N55" s="1" t="s">
        <v>54</v>
      </c>
      <c r="O55" s="1">
        <v>3.7</v>
      </c>
      <c r="P55" s="2">
        <v>10571</v>
      </c>
      <c r="Q55" s="2">
        <v>17392</v>
      </c>
      <c r="R55" s="1">
        <v>9.18</v>
      </c>
      <c r="S55" s="1">
        <v>40</v>
      </c>
      <c r="T55" s="1" t="s">
        <v>100</v>
      </c>
      <c r="U55" s="35" t="str">
        <f t="shared" si="1"/>
        <v>N</v>
      </c>
      <c r="V55" s="1" t="str">
        <f>_xlfn.CONCAT(EmployeeTable[[#This Row],[Region Code]],EmployeeTable[[#This Row],[Employee ID]],EmployeeTable[[#This Row],[First Name]],EmployeeTable[[#This Row],[Last Name]])</f>
        <v>N54AliceBrown</v>
      </c>
      <c r="W55" s="31" t="str">
        <f>IF(AND(EmployeeTable[[#This Row],[Performance Rating]]&gt;=4, EmployeeTable[[#This Row],[Bonus]]&gt;=0.1),"Eligible","Not Eligible")</f>
        <v>Not Eligible</v>
      </c>
      <c r="X55" s="1"/>
      <c r="Y55" s="3"/>
      <c r="Z55" s="5"/>
    </row>
    <row r="56" spans="1:26" ht="17.25" x14ac:dyDescent="0.3">
      <c r="A56" s="12">
        <v>55</v>
      </c>
      <c r="B56" s="26" t="str">
        <f>LOWER(_xlfn.CONCAT(EmployeeTable[[#This Row],[First Name]],".",EmployeeTable[[#This Row],[Last Name]],"@company.com"))</f>
        <v>grace.davis@company.com</v>
      </c>
      <c r="C56" s="1" t="s">
        <v>55</v>
      </c>
      <c r="D56" s="1" t="s">
        <v>64</v>
      </c>
      <c r="E56" s="1" t="s">
        <v>76</v>
      </c>
      <c r="F56" s="23" t="str">
        <f>LEFT(EmployeeTable[[#This Row],[First Name]],4)</f>
        <v>Grac</v>
      </c>
      <c r="G56" s="1"/>
      <c r="H56" s="1" t="s">
        <v>42</v>
      </c>
      <c r="I56" s="5" t="s">
        <v>43</v>
      </c>
      <c r="J56" s="7" t="s">
        <v>146</v>
      </c>
      <c r="K56" s="28" t="str">
        <f>TEXT(EmployeeTable[[#This Row],[Joining Date]],"MM-DD-YYYY")</f>
        <v>02-03-2020</v>
      </c>
      <c r="L56" s="6">
        <v>50138</v>
      </c>
      <c r="M56" s="1" t="s">
        <v>113</v>
      </c>
      <c r="N56" s="1" t="s">
        <v>54</v>
      </c>
      <c r="O56" s="1">
        <v>3.4</v>
      </c>
      <c r="P56" s="2">
        <v>10666</v>
      </c>
      <c r="Q56" s="2">
        <v>53585</v>
      </c>
      <c r="R56" s="1">
        <v>4.95</v>
      </c>
      <c r="S56" s="1">
        <v>33</v>
      </c>
      <c r="T56" s="1" t="s">
        <v>31</v>
      </c>
      <c r="U56" s="35" t="str">
        <f t="shared" si="1"/>
        <v>N</v>
      </c>
      <c r="V56" s="1" t="str">
        <f>_xlfn.CONCAT(EmployeeTable[[#This Row],[Region Code]],EmployeeTable[[#This Row],[Employee ID]],EmployeeTable[[#This Row],[First Name]],EmployeeTable[[#This Row],[Last Name]])</f>
        <v>N55GraceDavis</v>
      </c>
      <c r="W56" s="31" t="str">
        <f>IF(AND(EmployeeTable[[#This Row],[Performance Rating]]&gt;=4, EmployeeTable[[#This Row],[Bonus]]&gt;=0.1),"Eligible","Not Eligible")</f>
        <v>Not Eligible</v>
      </c>
      <c r="X56" s="1"/>
      <c r="Y56" s="3"/>
      <c r="Z56" s="5"/>
    </row>
    <row r="57" spans="1:26" ht="17.25" x14ac:dyDescent="0.3">
      <c r="A57" s="12">
        <v>56</v>
      </c>
      <c r="B57" s="26" t="str">
        <f>LOWER(_xlfn.CONCAT(EmployeeTable[[#This Row],[First Name]],".",EmployeeTable[[#This Row],[Last Name]],"@company.com"))</f>
        <v>jack.lee@company.com</v>
      </c>
      <c r="C57" s="1" t="s">
        <v>40</v>
      </c>
      <c r="D57" s="1" t="s">
        <v>93</v>
      </c>
      <c r="E57" s="1" t="s">
        <v>41</v>
      </c>
      <c r="F57" s="23" t="str">
        <f>LEFT(EmployeeTable[[#This Row],[First Name]],4)</f>
        <v>Jack</v>
      </c>
      <c r="G57" s="1"/>
      <c r="H57" s="1" t="s">
        <v>79</v>
      </c>
      <c r="I57" s="5" t="s">
        <v>80</v>
      </c>
      <c r="J57" s="8" t="s">
        <v>147</v>
      </c>
      <c r="K57" s="29" t="str">
        <f>TEXT(EmployeeTable[[#This Row],[Joining Date]],"MM-DD-YYYY")</f>
        <v>06-15-2016</v>
      </c>
      <c r="L57" s="6">
        <v>57900</v>
      </c>
      <c r="M57" s="1" t="s">
        <v>115</v>
      </c>
      <c r="N57" s="1" t="s">
        <v>38</v>
      </c>
      <c r="O57" s="1">
        <v>3</v>
      </c>
      <c r="P57" s="2">
        <v>10792</v>
      </c>
      <c r="Q57" s="2">
        <v>25707</v>
      </c>
      <c r="R57" s="1">
        <v>9.82</v>
      </c>
      <c r="S57" s="1">
        <v>17</v>
      </c>
      <c r="T57" s="1" t="s">
        <v>63</v>
      </c>
      <c r="U57" s="35" t="str">
        <f t="shared" si="1"/>
        <v>W</v>
      </c>
      <c r="V57" s="1" t="str">
        <f>_xlfn.CONCAT(EmployeeTable[[#This Row],[Region Code]],EmployeeTable[[#This Row],[Employee ID]],EmployeeTable[[#This Row],[First Name]],EmployeeTable[[#This Row],[Last Name]])</f>
        <v>W56JackLee</v>
      </c>
      <c r="W57" s="31" t="str">
        <f>IF(AND(EmployeeTable[[#This Row],[Performance Rating]]&gt;=4, EmployeeTable[[#This Row],[Bonus]]&gt;=0.1),"Eligible","Not Eligible")</f>
        <v>Not Eligible</v>
      </c>
      <c r="X57" s="1"/>
      <c r="Y57" s="3"/>
      <c r="Z57" s="5"/>
    </row>
    <row r="58" spans="1:26" ht="17.25" x14ac:dyDescent="0.3">
      <c r="A58" s="12">
        <v>57</v>
      </c>
      <c r="B58" s="26" t="str">
        <f>LOWER(_xlfn.CONCAT(EmployeeTable[[#This Row],[First Name]],".",EmployeeTable[[#This Row],[Last Name]],"@company.com"))</f>
        <v>eva.lee@company.com</v>
      </c>
      <c r="C58" s="1" t="s">
        <v>23</v>
      </c>
      <c r="D58" s="1" t="s">
        <v>78</v>
      </c>
      <c r="E58" s="1" t="s">
        <v>41</v>
      </c>
      <c r="F58" s="23" t="str">
        <f>LEFT(EmployeeTable[[#This Row],[First Name]],4)</f>
        <v>Eva</v>
      </c>
      <c r="G58" s="1"/>
      <c r="H58" s="1" t="s">
        <v>79</v>
      </c>
      <c r="I58" s="5" t="s">
        <v>80</v>
      </c>
      <c r="J58" s="7" t="s">
        <v>148</v>
      </c>
      <c r="K58" s="28" t="str">
        <f>TEXT(EmployeeTable[[#This Row],[Joining Date]],"MM-DD-YYYY")</f>
        <v>05-13-2019</v>
      </c>
      <c r="L58" s="6">
        <v>101266</v>
      </c>
      <c r="M58" s="1" t="s">
        <v>132</v>
      </c>
      <c r="N58" s="1" t="s">
        <v>62</v>
      </c>
      <c r="O58" s="1">
        <v>3.7</v>
      </c>
      <c r="P58" s="2">
        <v>10838</v>
      </c>
      <c r="Q58" s="2">
        <v>28047</v>
      </c>
      <c r="R58" s="1">
        <v>7.06</v>
      </c>
      <c r="S58" s="1">
        <v>16</v>
      </c>
      <c r="T58" s="1" t="s">
        <v>98</v>
      </c>
      <c r="U58" s="35" t="str">
        <f t="shared" si="1"/>
        <v>E</v>
      </c>
      <c r="V58" s="1" t="str">
        <f>_xlfn.CONCAT(EmployeeTable[[#This Row],[Region Code]],EmployeeTable[[#This Row],[Employee ID]],EmployeeTable[[#This Row],[First Name]],EmployeeTable[[#This Row],[Last Name]])</f>
        <v>E57EvaLee</v>
      </c>
      <c r="W58" s="31" t="str">
        <f>IF(AND(EmployeeTable[[#This Row],[Performance Rating]]&gt;=4, EmployeeTable[[#This Row],[Bonus]]&gt;=0.1),"Eligible","Not Eligible")</f>
        <v>Not Eligible</v>
      </c>
      <c r="X58" s="1"/>
      <c r="Y58" s="3"/>
      <c r="Z58" s="5"/>
    </row>
    <row r="59" spans="1:26" ht="17.25" x14ac:dyDescent="0.3">
      <c r="A59" s="12">
        <v>58</v>
      </c>
      <c r="B59" s="26" t="str">
        <f>LOWER(_xlfn.CONCAT(EmployeeTable[[#This Row],[First Name]],".",EmployeeTable[[#This Row],[Last Name]],"@company.com"))</f>
        <v>grace.davis@company.com</v>
      </c>
      <c r="C59" s="1" t="s">
        <v>23</v>
      </c>
      <c r="D59" s="1" t="s">
        <v>64</v>
      </c>
      <c r="E59" s="1" t="s">
        <v>76</v>
      </c>
      <c r="F59" s="23" t="str">
        <f>LEFT(EmployeeTable[[#This Row],[First Name]],4)</f>
        <v>Grac</v>
      </c>
      <c r="G59" s="1"/>
      <c r="H59" s="1" t="s">
        <v>50</v>
      </c>
      <c r="I59" s="5" t="s">
        <v>51</v>
      </c>
      <c r="J59" s="8" t="s">
        <v>149</v>
      </c>
      <c r="K59" s="29" t="str">
        <f>TEXT(EmployeeTable[[#This Row],[Joining Date]],"MM-DD-YYYY")</f>
        <v>01-30-2015</v>
      </c>
      <c r="L59" s="6">
        <v>73362</v>
      </c>
      <c r="M59" s="1" t="s">
        <v>68</v>
      </c>
      <c r="N59" s="1" t="s">
        <v>62</v>
      </c>
      <c r="O59" s="1">
        <v>4.5999999999999996</v>
      </c>
      <c r="P59" s="2">
        <v>11268</v>
      </c>
      <c r="Q59" s="2">
        <v>36736</v>
      </c>
      <c r="R59" s="1">
        <v>9.9600000000000009</v>
      </c>
      <c r="S59" s="1">
        <v>50</v>
      </c>
      <c r="T59" s="1" t="s">
        <v>46</v>
      </c>
      <c r="U59" s="35" t="str">
        <f t="shared" si="1"/>
        <v>E</v>
      </c>
      <c r="V59" s="1" t="str">
        <f>_xlfn.CONCAT(EmployeeTable[[#This Row],[Region Code]],EmployeeTable[[#This Row],[Employee ID]],EmployeeTable[[#This Row],[First Name]],EmployeeTable[[#This Row],[Last Name]])</f>
        <v>E58GraceDavis</v>
      </c>
      <c r="W59" s="31" t="str">
        <f>IF(AND(EmployeeTable[[#This Row],[Performance Rating]]&gt;=4, EmployeeTable[[#This Row],[Bonus]]&gt;=0.1),"Eligible","Not Eligible")</f>
        <v>Eligible</v>
      </c>
      <c r="X59" s="1"/>
      <c r="Y59" s="3"/>
      <c r="Z59" s="5"/>
    </row>
    <row r="60" spans="1:26" ht="17.25" x14ac:dyDescent="0.3">
      <c r="A60" s="12">
        <v>59</v>
      </c>
      <c r="B60" s="26" t="str">
        <f>LOWER(_xlfn.CONCAT(EmployeeTable[[#This Row],[First Name]],".",EmployeeTable[[#This Row],[Last Name]],"@company.com"))</f>
        <v>eva.taylor@company.com</v>
      </c>
      <c r="C60" s="1" t="s">
        <v>69</v>
      </c>
      <c r="D60" s="1" t="s">
        <v>78</v>
      </c>
      <c r="E60" s="1" t="s">
        <v>111</v>
      </c>
      <c r="F60" s="23" t="str">
        <f>LEFT(EmployeeTable[[#This Row],[First Name]],4)</f>
        <v>Eva</v>
      </c>
      <c r="G60" s="1"/>
      <c r="H60" s="1" t="s">
        <v>83</v>
      </c>
      <c r="I60" s="5" t="s">
        <v>84</v>
      </c>
      <c r="J60" s="7" t="s">
        <v>150</v>
      </c>
      <c r="K60" s="28" t="str">
        <f>TEXT(EmployeeTable[[#This Row],[Joining Date]],"MM-DD-YYYY")</f>
        <v>02-06-2017</v>
      </c>
      <c r="L60" s="6">
        <v>105702</v>
      </c>
      <c r="M60" s="1" t="s">
        <v>120</v>
      </c>
      <c r="N60" s="1" t="s">
        <v>30</v>
      </c>
      <c r="O60" s="1">
        <v>4.3</v>
      </c>
      <c r="P60" s="2">
        <v>11692</v>
      </c>
      <c r="Q60" s="2">
        <v>64384</v>
      </c>
      <c r="R60" s="1">
        <v>6.41</v>
      </c>
      <c r="S60" s="1">
        <v>23</v>
      </c>
      <c r="T60" s="1" t="s">
        <v>98</v>
      </c>
      <c r="U60" s="35" t="str">
        <f t="shared" si="1"/>
        <v>S</v>
      </c>
      <c r="V60" s="1" t="str">
        <f>_xlfn.CONCAT(EmployeeTable[[#This Row],[Region Code]],EmployeeTable[[#This Row],[Employee ID]],EmployeeTable[[#This Row],[First Name]],EmployeeTable[[#This Row],[Last Name]])</f>
        <v>S59EvaTaylor</v>
      </c>
      <c r="W60" s="31" t="str">
        <f>IF(AND(EmployeeTable[[#This Row],[Performance Rating]]&gt;=4, EmployeeTable[[#This Row],[Bonus]]&gt;=0.1),"Eligible","Not Eligible")</f>
        <v>Eligible</v>
      </c>
      <c r="X60" s="1"/>
      <c r="Y60" s="3"/>
      <c r="Z60" s="5"/>
    </row>
    <row r="61" spans="1:26" ht="17.25" x14ac:dyDescent="0.3">
      <c r="A61" s="12">
        <v>60</v>
      </c>
      <c r="B61" s="26" t="str">
        <f>LOWER(_xlfn.CONCAT(EmployeeTable[[#This Row],[First Name]],".",EmployeeTable[[#This Row],[Last Name]],"@company.com"))</f>
        <v>jack.green@company.com</v>
      </c>
      <c r="C61" s="1" t="s">
        <v>23</v>
      </c>
      <c r="D61" s="1" t="s">
        <v>93</v>
      </c>
      <c r="E61" s="1" t="s">
        <v>49</v>
      </c>
      <c r="F61" s="23" t="str">
        <f>LEFT(EmployeeTable[[#This Row],[First Name]],4)</f>
        <v>Jack</v>
      </c>
      <c r="G61" s="1"/>
      <c r="H61" s="1" t="s">
        <v>26</v>
      </c>
      <c r="I61" s="5" t="s">
        <v>27</v>
      </c>
      <c r="J61" s="8" t="s">
        <v>151</v>
      </c>
      <c r="K61" s="29" t="str">
        <f>TEXT(EmployeeTable[[#This Row],[Joining Date]],"MM-DD-YYYY")</f>
        <v>04-06-2017</v>
      </c>
      <c r="L61" s="6">
        <v>110550</v>
      </c>
      <c r="M61" s="1" t="s">
        <v>61</v>
      </c>
      <c r="N61" s="1" t="s">
        <v>54</v>
      </c>
      <c r="O61" s="1">
        <v>3.2</v>
      </c>
      <c r="P61" s="2">
        <v>11762</v>
      </c>
      <c r="Q61" s="2">
        <v>59811</v>
      </c>
      <c r="R61" s="1">
        <v>7.96</v>
      </c>
      <c r="S61" s="1">
        <v>48</v>
      </c>
      <c r="T61" s="1" t="s">
        <v>98</v>
      </c>
      <c r="U61" s="35" t="str">
        <f t="shared" si="1"/>
        <v>N</v>
      </c>
      <c r="V61" s="1" t="str">
        <f>_xlfn.CONCAT(EmployeeTable[[#This Row],[Region Code]],EmployeeTable[[#This Row],[Employee ID]],EmployeeTable[[#This Row],[First Name]],EmployeeTable[[#This Row],[Last Name]])</f>
        <v>N60JackGreen</v>
      </c>
      <c r="W61" s="31" t="str">
        <f>IF(AND(EmployeeTable[[#This Row],[Performance Rating]]&gt;=4, EmployeeTable[[#This Row],[Bonus]]&gt;=0.1),"Eligible","Not Eligible")</f>
        <v>Not Eligible</v>
      </c>
      <c r="X61" s="1"/>
      <c r="Y61" s="3"/>
      <c r="Z61" s="5"/>
    </row>
    <row r="62" spans="1:26" ht="17.25" x14ac:dyDescent="0.3">
      <c r="A62" s="12">
        <v>61</v>
      </c>
      <c r="B62" s="26" t="str">
        <f>LOWER(_xlfn.CONCAT(EmployeeTable[[#This Row],[First Name]],".",EmployeeTable[[#This Row],[Last Name]],"@company.com"))</f>
        <v>jack.miller@company.com</v>
      </c>
      <c r="C62" s="1" t="s">
        <v>55</v>
      </c>
      <c r="D62" s="1" t="s">
        <v>93</v>
      </c>
      <c r="E62" s="1" t="s">
        <v>33</v>
      </c>
      <c r="F62" s="23" t="str">
        <f>LEFT(EmployeeTable[[#This Row],[First Name]],4)</f>
        <v>Jack</v>
      </c>
      <c r="G62" s="1"/>
      <c r="H62" s="1" t="s">
        <v>58</v>
      </c>
      <c r="I62" s="5" t="s">
        <v>59</v>
      </c>
      <c r="J62" s="7" t="s">
        <v>152</v>
      </c>
      <c r="K62" s="28" t="str">
        <f>TEXT(EmployeeTable[[#This Row],[Joining Date]],"MM-DD-YYYY")</f>
        <v>08-17-2021</v>
      </c>
      <c r="L62" s="6">
        <v>42009</v>
      </c>
      <c r="M62" s="1" t="s">
        <v>61</v>
      </c>
      <c r="N62" s="1" t="s">
        <v>62</v>
      </c>
      <c r="O62" s="1">
        <v>4.2</v>
      </c>
      <c r="P62" s="2">
        <v>12233</v>
      </c>
      <c r="Q62" s="2">
        <v>40080</v>
      </c>
      <c r="R62" s="1">
        <v>6.14</v>
      </c>
      <c r="S62" s="1">
        <v>58</v>
      </c>
      <c r="T62" s="1" t="s">
        <v>46</v>
      </c>
      <c r="U62" s="35" t="str">
        <f t="shared" si="1"/>
        <v>E</v>
      </c>
      <c r="V62" s="1" t="str">
        <f>_xlfn.CONCAT(EmployeeTable[[#This Row],[Region Code]],EmployeeTable[[#This Row],[Employee ID]],EmployeeTable[[#This Row],[First Name]],EmployeeTable[[#This Row],[Last Name]])</f>
        <v>E61JackMiller</v>
      </c>
      <c r="W62" s="31" t="str">
        <f>IF(AND(EmployeeTable[[#This Row],[Performance Rating]]&gt;=4, EmployeeTable[[#This Row],[Bonus]]&gt;=0.1),"Eligible","Not Eligible")</f>
        <v>Eligible</v>
      </c>
      <c r="X62" s="1"/>
      <c r="Y62" s="3"/>
      <c r="Z62" s="5"/>
    </row>
    <row r="63" spans="1:26" ht="17.25" x14ac:dyDescent="0.3">
      <c r="A63" s="12">
        <v>62</v>
      </c>
      <c r="B63" s="26" t="str">
        <f>LOWER(_xlfn.CONCAT(EmployeeTable[[#This Row],[First Name]],".",EmployeeTable[[#This Row],[Last Name]],"@company.com"))</f>
        <v>david.green@company.com</v>
      </c>
      <c r="C63" s="1" t="s">
        <v>69</v>
      </c>
      <c r="D63" s="1" t="s">
        <v>32</v>
      </c>
      <c r="E63" s="1" t="s">
        <v>49</v>
      </c>
      <c r="F63" s="23" t="str">
        <f>LEFT(EmployeeTable[[#This Row],[First Name]],4)</f>
        <v>Davi</v>
      </c>
      <c r="G63" s="1"/>
      <c r="H63" s="1" t="s">
        <v>50</v>
      </c>
      <c r="I63" s="5" t="s">
        <v>51</v>
      </c>
      <c r="J63" s="8" t="s">
        <v>153</v>
      </c>
      <c r="K63" s="29" t="str">
        <f>TEXT(EmployeeTable[[#This Row],[Joining Date]],"MM-DD-YYYY")</f>
        <v>02-14-2019</v>
      </c>
      <c r="L63" s="6">
        <v>47202</v>
      </c>
      <c r="M63" s="1" t="s">
        <v>120</v>
      </c>
      <c r="N63" s="1" t="s">
        <v>38</v>
      </c>
      <c r="O63" s="1">
        <v>4.8</v>
      </c>
      <c r="P63" s="2">
        <v>12253</v>
      </c>
      <c r="Q63" s="2">
        <v>54262</v>
      </c>
      <c r="R63" s="1">
        <v>5.14</v>
      </c>
      <c r="S63" s="1">
        <v>43</v>
      </c>
      <c r="T63" s="1" t="s">
        <v>39</v>
      </c>
      <c r="U63" s="35" t="str">
        <f t="shared" si="1"/>
        <v>W</v>
      </c>
      <c r="V63" s="1" t="str">
        <f>_xlfn.CONCAT(EmployeeTable[[#This Row],[Region Code]],EmployeeTable[[#This Row],[Employee ID]],EmployeeTable[[#This Row],[First Name]],EmployeeTable[[#This Row],[Last Name]])</f>
        <v>W62DavidGreen</v>
      </c>
      <c r="W63" s="31" t="str">
        <f>IF(AND(EmployeeTable[[#This Row],[Performance Rating]]&gt;=4, EmployeeTable[[#This Row],[Bonus]]&gt;=0.1),"Eligible","Not Eligible")</f>
        <v>Eligible</v>
      </c>
      <c r="X63" s="1"/>
      <c r="Y63" s="3"/>
      <c r="Z63" s="5"/>
    </row>
    <row r="64" spans="1:26" ht="17.25" x14ac:dyDescent="0.3">
      <c r="A64" s="12">
        <v>63</v>
      </c>
      <c r="B64" s="26" t="str">
        <f>LOWER(_xlfn.CONCAT(EmployeeTable[[#This Row],[First Name]],".",EmployeeTable[[#This Row],[Last Name]],"@company.com"))</f>
        <v>carol.taylor@company.com</v>
      </c>
      <c r="C64" s="1" t="s">
        <v>40</v>
      </c>
      <c r="D64" s="1" t="s">
        <v>66</v>
      </c>
      <c r="E64" s="1" t="s">
        <v>111</v>
      </c>
      <c r="F64" s="23" t="str">
        <f>LEFT(EmployeeTable[[#This Row],[First Name]],4)</f>
        <v>Caro</v>
      </c>
      <c r="G64" s="1"/>
      <c r="H64" s="1" t="s">
        <v>58</v>
      </c>
      <c r="I64" s="5" t="s">
        <v>59</v>
      </c>
      <c r="J64" s="7" t="s">
        <v>154</v>
      </c>
      <c r="K64" s="28" t="str">
        <f>TEXT(EmployeeTable[[#This Row],[Joining Date]],"MM-DD-YYYY")</f>
        <v>03-01-2015</v>
      </c>
      <c r="L64" s="6">
        <v>64148</v>
      </c>
      <c r="M64" s="1" t="s">
        <v>89</v>
      </c>
      <c r="N64" s="1" t="s">
        <v>54</v>
      </c>
      <c r="O64" s="1">
        <v>5</v>
      </c>
      <c r="P64" s="2">
        <v>12555</v>
      </c>
      <c r="Q64" s="2">
        <v>31976</v>
      </c>
      <c r="R64" s="1">
        <v>4.99</v>
      </c>
      <c r="S64" s="1">
        <v>56</v>
      </c>
      <c r="T64" s="1" t="s">
        <v>63</v>
      </c>
      <c r="U64" s="35" t="str">
        <f t="shared" si="1"/>
        <v>N</v>
      </c>
      <c r="V64" s="1" t="str">
        <f>_xlfn.CONCAT(EmployeeTable[[#This Row],[Region Code]],EmployeeTable[[#This Row],[Employee ID]],EmployeeTable[[#This Row],[First Name]],EmployeeTable[[#This Row],[Last Name]])</f>
        <v>N63CarolTaylor</v>
      </c>
      <c r="W64" s="31" t="str">
        <f>IF(AND(EmployeeTable[[#This Row],[Performance Rating]]&gt;=4, EmployeeTable[[#This Row],[Bonus]]&gt;=0.1),"Eligible","Not Eligible")</f>
        <v>Eligible</v>
      </c>
      <c r="X64" s="1"/>
      <c r="Y64" s="3"/>
      <c r="Z64" s="5"/>
    </row>
    <row r="65" spans="1:26" ht="17.25" x14ac:dyDescent="0.3">
      <c r="A65" s="12">
        <v>64</v>
      </c>
      <c r="B65" s="26" t="str">
        <f>LOWER(_xlfn.CONCAT(EmployeeTable[[#This Row],[First Name]],".",EmployeeTable[[#This Row],[Last Name]],"@company.com"))</f>
        <v>david.smith@company.com</v>
      </c>
      <c r="C65" s="1" t="s">
        <v>55</v>
      </c>
      <c r="D65" s="1" t="s">
        <v>32</v>
      </c>
      <c r="E65" s="1" t="s">
        <v>71</v>
      </c>
      <c r="F65" s="23" t="str">
        <f>LEFT(EmployeeTable[[#This Row],[First Name]],4)</f>
        <v>Davi</v>
      </c>
      <c r="G65" s="1"/>
      <c r="H65" s="1" t="s">
        <v>101</v>
      </c>
      <c r="I65" s="5" t="s">
        <v>102</v>
      </c>
      <c r="J65" s="8" t="s">
        <v>155</v>
      </c>
      <c r="K65" s="29" t="str">
        <f>TEXT(EmployeeTable[[#This Row],[Joining Date]],"MM-DD-YYYY")</f>
        <v>05-09-2022</v>
      </c>
      <c r="L65" s="6">
        <v>41183</v>
      </c>
      <c r="M65" s="1" t="s">
        <v>45</v>
      </c>
      <c r="N65" s="1" t="s">
        <v>62</v>
      </c>
      <c r="O65" s="1">
        <v>3.2</v>
      </c>
      <c r="P65" s="2">
        <v>12627</v>
      </c>
      <c r="Q65" s="2">
        <v>85766</v>
      </c>
      <c r="R65" s="1">
        <v>9.58</v>
      </c>
      <c r="S65" s="1">
        <v>15</v>
      </c>
      <c r="T65" s="1" t="s">
        <v>63</v>
      </c>
      <c r="U65" s="35" t="str">
        <f t="shared" si="1"/>
        <v>E</v>
      </c>
      <c r="V65" s="1" t="str">
        <f>_xlfn.CONCAT(EmployeeTable[[#This Row],[Region Code]],EmployeeTable[[#This Row],[Employee ID]],EmployeeTable[[#This Row],[First Name]],EmployeeTable[[#This Row],[Last Name]])</f>
        <v>E64DavidSmith</v>
      </c>
      <c r="W65" s="31" t="str">
        <f>IF(AND(EmployeeTable[[#This Row],[Performance Rating]]&gt;=4, EmployeeTable[[#This Row],[Bonus]]&gt;=0.1),"Eligible","Not Eligible")</f>
        <v>Not Eligible</v>
      </c>
      <c r="X65" s="1"/>
      <c r="Y65" s="3"/>
      <c r="Z65" s="5"/>
    </row>
    <row r="66" spans="1:26" ht="17.25" x14ac:dyDescent="0.3">
      <c r="A66" s="12">
        <v>65</v>
      </c>
      <c r="B66" s="26" t="str">
        <f>LOWER(_xlfn.CONCAT(EmployeeTable[[#This Row],[First Name]],".",EmployeeTable[[#This Row],[Last Name]],"@company.com"))</f>
        <v>grace.miller@company.com</v>
      </c>
      <c r="C66" s="1" t="s">
        <v>40</v>
      </c>
      <c r="D66" s="1" t="s">
        <v>64</v>
      </c>
      <c r="E66" s="1" t="s">
        <v>33</v>
      </c>
      <c r="F66" s="23" t="str">
        <f>LEFT(EmployeeTable[[#This Row],[First Name]],4)</f>
        <v>Grac</v>
      </c>
      <c r="G66" s="1"/>
      <c r="H66" s="1" t="s">
        <v>50</v>
      </c>
      <c r="I66" s="5" t="s">
        <v>51</v>
      </c>
      <c r="J66" s="7" t="s">
        <v>156</v>
      </c>
      <c r="K66" s="28" t="str">
        <f>TEXT(EmployeeTable[[#This Row],[Joining Date]],"MM-DD-YYYY")</f>
        <v>04-17-2016</v>
      </c>
      <c r="L66" s="6">
        <v>54661</v>
      </c>
      <c r="M66" s="1" t="s">
        <v>91</v>
      </c>
      <c r="N66" s="1" t="s">
        <v>38</v>
      </c>
      <c r="O66" s="1">
        <v>3.4</v>
      </c>
      <c r="P66" s="2">
        <v>12805</v>
      </c>
      <c r="Q66" s="2">
        <v>83530</v>
      </c>
      <c r="R66" s="1">
        <v>4.75</v>
      </c>
      <c r="S66" s="1">
        <v>37</v>
      </c>
      <c r="T66" s="1" t="s">
        <v>100</v>
      </c>
      <c r="U66" s="35" t="str">
        <f t="shared" ref="U66:U101" si="2">SUBSTITUTE(SUBSTITUTE(SUBSTITUTE(SUBSTITUTE(N66,"North","N"),"East","E"),"South","S"),"West","W")</f>
        <v>W</v>
      </c>
      <c r="V66" s="1" t="str">
        <f>_xlfn.CONCAT(EmployeeTable[[#This Row],[Region Code]],EmployeeTable[[#This Row],[Employee ID]],EmployeeTable[[#This Row],[First Name]],EmployeeTable[[#This Row],[Last Name]])</f>
        <v>W65GraceMiller</v>
      </c>
      <c r="W66" s="31" t="str">
        <f>IF(AND(EmployeeTable[[#This Row],[Performance Rating]]&gt;=4, EmployeeTable[[#This Row],[Bonus]]&gt;=0.1),"Eligible","Not Eligible")</f>
        <v>Not Eligible</v>
      </c>
      <c r="X66" s="1"/>
      <c r="Y66" s="3"/>
      <c r="Z66" s="5"/>
    </row>
    <row r="67" spans="1:26" ht="17.25" x14ac:dyDescent="0.3">
      <c r="A67" s="12">
        <v>66</v>
      </c>
      <c r="B67" s="26" t="str">
        <f>LOWER(_xlfn.CONCAT(EmployeeTable[[#This Row],[First Name]],".",EmployeeTable[[#This Row],[Last Name]],"@company.com"))</f>
        <v>isla.adams@company.com</v>
      </c>
      <c r="C67" s="1" t="s">
        <v>40</v>
      </c>
      <c r="D67" s="1" t="s">
        <v>87</v>
      </c>
      <c r="E67" s="1" t="s">
        <v>108</v>
      </c>
      <c r="F67" s="23" t="str">
        <f>LEFT(EmployeeTable[[#This Row],[First Name]],4)</f>
        <v>Isla</v>
      </c>
      <c r="G67" s="1"/>
      <c r="H67" s="1" t="s">
        <v>42</v>
      </c>
      <c r="I67" s="5" t="s">
        <v>43</v>
      </c>
      <c r="J67" s="8" t="s">
        <v>157</v>
      </c>
      <c r="K67" s="29" t="str">
        <f>TEXT(EmployeeTable[[#This Row],[Joining Date]],"MM-DD-YYYY")</f>
        <v>09-11-2016</v>
      </c>
      <c r="L67" s="6">
        <v>92495</v>
      </c>
      <c r="M67" s="1" t="s">
        <v>68</v>
      </c>
      <c r="N67" s="1" t="s">
        <v>62</v>
      </c>
      <c r="O67" s="1">
        <v>4.0999999999999996</v>
      </c>
      <c r="P67" s="2">
        <v>12965</v>
      </c>
      <c r="Q67" s="2">
        <v>25708</v>
      </c>
      <c r="R67" s="1">
        <v>3.96</v>
      </c>
      <c r="S67" s="1">
        <v>41</v>
      </c>
      <c r="T67" s="1" t="s">
        <v>92</v>
      </c>
      <c r="U67" s="35" t="str">
        <f t="shared" si="2"/>
        <v>E</v>
      </c>
      <c r="V67" s="1" t="str">
        <f>_xlfn.CONCAT(EmployeeTable[[#This Row],[Region Code]],EmployeeTable[[#This Row],[Employee ID]],EmployeeTable[[#This Row],[First Name]],EmployeeTable[[#This Row],[Last Name]])</f>
        <v>E66IslaAdams</v>
      </c>
      <c r="W67" s="31" t="str">
        <f>IF(AND(EmployeeTable[[#This Row],[Performance Rating]]&gt;=4, EmployeeTable[[#This Row],[Bonus]]&gt;=0.1),"Eligible","Not Eligible")</f>
        <v>Eligible</v>
      </c>
      <c r="X67" s="1"/>
      <c r="Y67" s="3"/>
      <c r="Z67" s="5"/>
    </row>
    <row r="68" spans="1:26" ht="17.25" x14ac:dyDescent="0.3">
      <c r="A68" s="12">
        <v>67</v>
      </c>
      <c r="B68" s="26" t="str">
        <f>LOWER(_xlfn.CONCAT(EmployeeTable[[#This Row],[First Name]],".",EmployeeTable[[#This Row],[Last Name]],"@company.com"))</f>
        <v>carol.johnson@company.com</v>
      </c>
      <c r="C68" s="1" t="s">
        <v>69</v>
      </c>
      <c r="D68" s="1" t="s">
        <v>66</v>
      </c>
      <c r="E68" s="1" t="s">
        <v>73</v>
      </c>
      <c r="F68" s="23" t="str">
        <f>LEFT(EmployeeTable[[#This Row],[First Name]],4)</f>
        <v>Caro</v>
      </c>
      <c r="G68" s="1"/>
      <c r="H68" s="1" t="s">
        <v>83</v>
      </c>
      <c r="I68" s="5" t="s">
        <v>84</v>
      </c>
      <c r="J68" s="7" t="s">
        <v>158</v>
      </c>
      <c r="K68" s="28" t="str">
        <f>TEXT(EmployeeTable[[#This Row],[Joining Date]],"MM-DD-YYYY")</f>
        <v>10-26-2020</v>
      </c>
      <c r="L68" s="6">
        <v>94129</v>
      </c>
      <c r="M68" s="1" t="s">
        <v>120</v>
      </c>
      <c r="N68" s="1" t="s">
        <v>54</v>
      </c>
      <c r="O68" s="1">
        <v>4.5999999999999996</v>
      </c>
      <c r="P68" s="2">
        <v>13016</v>
      </c>
      <c r="Q68" s="2">
        <v>76842</v>
      </c>
      <c r="R68" s="1">
        <v>9.9600000000000009</v>
      </c>
      <c r="S68" s="1">
        <v>46</v>
      </c>
      <c r="T68" s="1" t="s">
        <v>46</v>
      </c>
      <c r="U68" s="35" t="str">
        <f t="shared" si="2"/>
        <v>N</v>
      </c>
      <c r="V68" s="1" t="str">
        <f>_xlfn.CONCAT(EmployeeTable[[#This Row],[Region Code]],EmployeeTable[[#This Row],[Employee ID]],EmployeeTable[[#This Row],[First Name]],EmployeeTable[[#This Row],[Last Name]])</f>
        <v>N67CarolJohnson</v>
      </c>
      <c r="W68" s="31" t="str">
        <f>IF(AND(EmployeeTable[[#This Row],[Performance Rating]]&gt;=4, EmployeeTable[[#This Row],[Bonus]]&gt;=0.1),"Eligible","Not Eligible")</f>
        <v>Eligible</v>
      </c>
      <c r="X68" s="1"/>
      <c r="Y68" s="3"/>
      <c r="Z68" s="5"/>
    </row>
    <row r="69" spans="1:26" ht="17.25" x14ac:dyDescent="0.3">
      <c r="A69" s="12">
        <v>68</v>
      </c>
      <c r="B69" s="26" t="str">
        <f>LOWER(_xlfn.CONCAT(EmployeeTable[[#This Row],[First Name]],".",EmployeeTable[[#This Row],[Last Name]],"@company.com"))</f>
        <v>jack.johnson@company.com</v>
      </c>
      <c r="C69" s="1" t="s">
        <v>55</v>
      </c>
      <c r="D69" s="1" t="s">
        <v>93</v>
      </c>
      <c r="E69" s="1" t="s">
        <v>73</v>
      </c>
      <c r="F69" s="23" t="str">
        <f>LEFT(EmployeeTable[[#This Row],[First Name]],4)</f>
        <v>Jack</v>
      </c>
      <c r="G69" s="1"/>
      <c r="H69" s="1" t="s">
        <v>34</v>
      </c>
      <c r="I69" s="5" t="s">
        <v>35</v>
      </c>
      <c r="J69" s="8" t="s">
        <v>159</v>
      </c>
      <c r="K69" s="29" t="str">
        <f>TEXT(EmployeeTable[[#This Row],[Joining Date]],"MM-DD-YYYY")</f>
        <v>12-13-2021</v>
      </c>
      <c r="L69" s="6">
        <v>112398</v>
      </c>
      <c r="M69" s="1" t="s">
        <v>61</v>
      </c>
      <c r="N69" s="1" t="s">
        <v>54</v>
      </c>
      <c r="O69" s="1">
        <v>3.6</v>
      </c>
      <c r="P69" s="2">
        <v>13284</v>
      </c>
      <c r="Q69" s="2">
        <v>33419</v>
      </c>
      <c r="R69" s="1">
        <v>8.86</v>
      </c>
      <c r="S69" s="1">
        <v>12</v>
      </c>
      <c r="T69" s="1" t="s">
        <v>104</v>
      </c>
      <c r="U69" s="35" t="str">
        <f t="shared" si="2"/>
        <v>N</v>
      </c>
      <c r="V69" s="1" t="str">
        <f>_xlfn.CONCAT(EmployeeTable[[#This Row],[Region Code]],EmployeeTable[[#This Row],[Employee ID]],EmployeeTable[[#This Row],[First Name]],EmployeeTable[[#This Row],[Last Name]])</f>
        <v>N68JackJohnson</v>
      </c>
      <c r="W69" s="31" t="str">
        <f>IF(AND(EmployeeTable[[#This Row],[Performance Rating]]&gt;=4, EmployeeTable[[#This Row],[Bonus]]&gt;=0.1),"Eligible","Not Eligible")</f>
        <v>Not Eligible</v>
      </c>
      <c r="X69" s="1"/>
      <c r="Y69" s="3"/>
      <c r="Z69" s="5"/>
    </row>
    <row r="70" spans="1:26" ht="17.25" x14ac:dyDescent="0.3">
      <c r="A70" s="12">
        <v>69</v>
      </c>
      <c r="B70" s="26" t="str">
        <f>LOWER(_xlfn.CONCAT(EmployeeTable[[#This Row],[First Name]],".",EmployeeTable[[#This Row],[Last Name]],"@company.com"))</f>
        <v>bob.miller@company.com</v>
      </c>
      <c r="C70" s="1" t="s">
        <v>47</v>
      </c>
      <c r="D70" s="1" t="s">
        <v>24</v>
      </c>
      <c r="E70" s="1" t="s">
        <v>33</v>
      </c>
      <c r="F70" s="23" t="str">
        <f>LEFT(EmployeeTable[[#This Row],[First Name]],4)</f>
        <v>Bob</v>
      </c>
      <c r="G70" s="1"/>
      <c r="H70" s="1" t="s">
        <v>79</v>
      </c>
      <c r="I70" s="5" t="s">
        <v>80</v>
      </c>
      <c r="J70" s="7" t="s">
        <v>160</v>
      </c>
      <c r="K70" s="28" t="str">
        <f>TEXT(EmployeeTable[[#This Row],[Joining Date]],"MM-DD-YYYY")</f>
        <v>01-22-2021</v>
      </c>
      <c r="L70" s="6">
        <v>56097</v>
      </c>
      <c r="M70" s="1" t="s">
        <v>120</v>
      </c>
      <c r="N70" s="1" t="s">
        <v>62</v>
      </c>
      <c r="O70" s="1">
        <v>3.2</v>
      </c>
      <c r="P70" s="2">
        <v>13363</v>
      </c>
      <c r="Q70" s="2">
        <v>28141</v>
      </c>
      <c r="R70" s="1">
        <v>7.87</v>
      </c>
      <c r="S70" s="1">
        <v>23</v>
      </c>
      <c r="T70" s="1" t="s">
        <v>75</v>
      </c>
      <c r="U70" s="35" t="str">
        <f t="shared" si="2"/>
        <v>E</v>
      </c>
      <c r="V70" s="1" t="str">
        <f>_xlfn.CONCAT(EmployeeTable[[#This Row],[Region Code]],EmployeeTable[[#This Row],[Employee ID]],EmployeeTable[[#This Row],[First Name]],EmployeeTable[[#This Row],[Last Name]])</f>
        <v>E69BobMiller</v>
      </c>
      <c r="W70" s="31" t="str">
        <f>IF(AND(EmployeeTable[[#This Row],[Performance Rating]]&gt;=4, EmployeeTable[[#This Row],[Bonus]]&gt;=0.1),"Eligible","Not Eligible")</f>
        <v>Not Eligible</v>
      </c>
      <c r="X70" s="1"/>
      <c r="Y70" s="3"/>
      <c r="Z70" s="5"/>
    </row>
    <row r="71" spans="1:26" ht="17.25" x14ac:dyDescent="0.3">
      <c r="A71" s="12">
        <v>70</v>
      </c>
      <c r="B71" s="26" t="str">
        <f>LOWER(_xlfn.CONCAT(EmployeeTable[[#This Row],[First Name]],".",EmployeeTable[[#This Row],[Last Name]],"@company.com"))</f>
        <v>david.lee@company.com</v>
      </c>
      <c r="C71" s="1" t="s">
        <v>23</v>
      </c>
      <c r="D71" s="1" t="s">
        <v>32</v>
      </c>
      <c r="E71" s="1" t="s">
        <v>41</v>
      </c>
      <c r="F71" s="23" t="str">
        <f>LEFT(EmployeeTable[[#This Row],[First Name]],4)</f>
        <v>Davi</v>
      </c>
      <c r="G71" s="1"/>
      <c r="H71" s="1" t="s">
        <v>42</v>
      </c>
      <c r="I71" s="5" t="s">
        <v>43</v>
      </c>
      <c r="J71" s="8" t="s">
        <v>161</v>
      </c>
      <c r="K71" s="29" t="str">
        <f>TEXT(EmployeeTable[[#This Row],[Joining Date]],"MM-DD-YYYY")</f>
        <v>01-15-2019</v>
      </c>
      <c r="L71" s="6">
        <v>88410</v>
      </c>
      <c r="M71" s="1" t="s">
        <v>61</v>
      </c>
      <c r="N71" s="1" t="s">
        <v>38</v>
      </c>
      <c r="O71" s="1">
        <v>4.9000000000000004</v>
      </c>
      <c r="P71" s="2">
        <v>13394</v>
      </c>
      <c r="Q71" s="2">
        <v>58925</v>
      </c>
      <c r="R71" s="1">
        <v>9.5500000000000007</v>
      </c>
      <c r="S71" s="1">
        <v>19</v>
      </c>
      <c r="T71" s="1" t="s">
        <v>104</v>
      </c>
      <c r="U71" s="35" t="str">
        <f t="shared" si="2"/>
        <v>W</v>
      </c>
      <c r="V71" s="1" t="str">
        <f>_xlfn.CONCAT(EmployeeTable[[#This Row],[Region Code]],EmployeeTable[[#This Row],[Employee ID]],EmployeeTable[[#This Row],[First Name]],EmployeeTable[[#This Row],[Last Name]])</f>
        <v>W70DavidLee</v>
      </c>
      <c r="W71" s="31" t="str">
        <f>IF(AND(EmployeeTable[[#This Row],[Performance Rating]]&gt;=4, EmployeeTable[[#This Row],[Bonus]]&gt;=0.1),"Eligible","Not Eligible")</f>
        <v>Eligible</v>
      </c>
      <c r="X71" s="1"/>
      <c r="Y71" s="3"/>
      <c r="Z71" s="5"/>
    </row>
    <row r="72" spans="1:26" ht="17.25" x14ac:dyDescent="0.3">
      <c r="A72" s="12">
        <v>71</v>
      </c>
      <c r="B72" s="26" t="str">
        <f>LOWER(_xlfn.CONCAT(EmployeeTable[[#This Row],[First Name]],".",EmployeeTable[[#This Row],[Last Name]],"@company.com"))</f>
        <v>isla.brown@company.com</v>
      </c>
      <c r="C72" s="1" t="s">
        <v>23</v>
      </c>
      <c r="D72" s="1" t="s">
        <v>87</v>
      </c>
      <c r="E72" s="1" t="s">
        <v>57</v>
      </c>
      <c r="F72" s="23" t="str">
        <f>LEFT(EmployeeTable[[#This Row],[First Name]],4)</f>
        <v>Isla</v>
      </c>
      <c r="G72" s="1"/>
      <c r="H72" s="1" t="s">
        <v>101</v>
      </c>
      <c r="I72" s="5" t="s">
        <v>102</v>
      </c>
      <c r="J72" s="7" t="s">
        <v>162</v>
      </c>
      <c r="K72" s="28" t="str">
        <f>TEXT(EmployeeTable[[#This Row],[Joining Date]],"MM-DD-YYYY")</f>
        <v>02-18-2016</v>
      </c>
      <c r="L72" s="6">
        <v>116092</v>
      </c>
      <c r="M72" s="1" t="s">
        <v>37</v>
      </c>
      <c r="N72" s="1" t="s">
        <v>54</v>
      </c>
      <c r="O72" s="1">
        <v>5</v>
      </c>
      <c r="P72" s="2">
        <v>13534</v>
      </c>
      <c r="Q72" s="2">
        <v>75318</v>
      </c>
      <c r="R72" s="1">
        <v>4.6100000000000003</v>
      </c>
      <c r="S72" s="1">
        <v>36</v>
      </c>
      <c r="T72" s="1" t="s">
        <v>39</v>
      </c>
      <c r="U72" s="35" t="str">
        <f t="shared" si="2"/>
        <v>N</v>
      </c>
      <c r="V72" s="1" t="str">
        <f>_xlfn.CONCAT(EmployeeTable[[#This Row],[Region Code]],EmployeeTable[[#This Row],[Employee ID]],EmployeeTable[[#This Row],[First Name]],EmployeeTable[[#This Row],[Last Name]])</f>
        <v>N71IslaBrown</v>
      </c>
      <c r="W72" s="31" t="str">
        <f>IF(AND(EmployeeTable[[#This Row],[Performance Rating]]&gt;=4, EmployeeTable[[#This Row],[Bonus]]&gt;=0.1),"Eligible","Not Eligible")</f>
        <v>Eligible</v>
      </c>
      <c r="X72" s="1"/>
      <c r="Y72" s="3"/>
      <c r="Z72" s="5"/>
    </row>
    <row r="73" spans="1:26" ht="17.25" x14ac:dyDescent="0.3">
      <c r="A73" s="12">
        <v>72</v>
      </c>
      <c r="B73" s="26" t="str">
        <f>LOWER(_xlfn.CONCAT(EmployeeTable[[#This Row],[First Name]],".",EmployeeTable[[#This Row],[Last Name]],"@company.com"))</f>
        <v>alice.davis@company.com</v>
      </c>
      <c r="C73" s="1" t="s">
        <v>55</v>
      </c>
      <c r="D73" s="1" t="s">
        <v>70</v>
      </c>
      <c r="E73" s="1" t="s">
        <v>76</v>
      </c>
      <c r="F73" s="23" t="str">
        <f>LEFT(EmployeeTable[[#This Row],[First Name]],4)</f>
        <v>Alic</v>
      </c>
      <c r="G73" s="1"/>
      <c r="H73" s="1" t="s">
        <v>101</v>
      </c>
      <c r="I73" s="5" t="s">
        <v>102</v>
      </c>
      <c r="J73" s="8" t="s">
        <v>163</v>
      </c>
      <c r="K73" s="29" t="str">
        <f>TEXT(EmployeeTable[[#This Row],[Joining Date]],"MM-DD-YYYY")</f>
        <v>09-15-2021</v>
      </c>
      <c r="L73" s="6">
        <v>79185</v>
      </c>
      <c r="M73" s="1" t="s">
        <v>68</v>
      </c>
      <c r="N73" s="1" t="s">
        <v>54</v>
      </c>
      <c r="O73" s="1">
        <v>3.4</v>
      </c>
      <c r="P73" s="2">
        <v>13653</v>
      </c>
      <c r="Q73" s="2">
        <v>44766</v>
      </c>
      <c r="R73" s="1">
        <v>7.45</v>
      </c>
      <c r="S73" s="1">
        <v>48</v>
      </c>
      <c r="T73" s="1" t="s">
        <v>104</v>
      </c>
      <c r="U73" s="35" t="str">
        <f t="shared" si="2"/>
        <v>N</v>
      </c>
      <c r="V73" s="1" t="str">
        <f>_xlfn.CONCAT(EmployeeTable[[#This Row],[Region Code]],EmployeeTable[[#This Row],[Employee ID]],EmployeeTable[[#This Row],[First Name]],EmployeeTable[[#This Row],[Last Name]])</f>
        <v>N72AliceDavis</v>
      </c>
      <c r="W73" s="31" t="str">
        <f>IF(AND(EmployeeTable[[#This Row],[Performance Rating]]&gt;=4, EmployeeTable[[#This Row],[Bonus]]&gt;=0.1),"Eligible","Not Eligible")</f>
        <v>Not Eligible</v>
      </c>
      <c r="X73" s="1"/>
      <c r="Y73" s="3"/>
      <c r="Z73" s="5"/>
    </row>
    <row r="74" spans="1:26" ht="17.25" x14ac:dyDescent="0.3">
      <c r="A74" s="12">
        <v>73</v>
      </c>
      <c r="B74" s="26" t="str">
        <f>LOWER(_xlfn.CONCAT(EmployeeTable[[#This Row],[First Name]],".",EmployeeTable[[#This Row],[Last Name]],"@company.com"))</f>
        <v>isla.johnson@company.com</v>
      </c>
      <c r="C74" s="1" t="s">
        <v>23</v>
      </c>
      <c r="D74" s="1" t="s">
        <v>87</v>
      </c>
      <c r="E74" s="1" t="s">
        <v>73</v>
      </c>
      <c r="F74" s="23" t="str">
        <f>LEFT(EmployeeTable[[#This Row],[First Name]],4)</f>
        <v>Isla</v>
      </c>
      <c r="G74" s="1"/>
      <c r="H74" s="1" t="s">
        <v>34</v>
      </c>
      <c r="I74" s="5" t="s">
        <v>35</v>
      </c>
      <c r="J74" s="7" t="s">
        <v>164</v>
      </c>
      <c r="K74" s="28" t="str">
        <f>TEXT(EmployeeTable[[#This Row],[Joining Date]],"MM-DD-YYYY")</f>
        <v>06-27-2015</v>
      </c>
      <c r="L74" s="6">
        <v>47725</v>
      </c>
      <c r="M74" s="1" t="s">
        <v>129</v>
      </c>
      <c r="N74" s="1" t="s">
        <v>38</v>
      </c>
      <c r="O74" s="1">
        <v>3.8</v>
      </c>
      <c r="P74" s="2">
        <v>13837</v>
      </c>
      <c r="Q74" s="2">
        <v>96202</v>
      </c>
      <c r="R74" s="1">
        <v>5.26</v>
      </c>
      <c r="S74" s="1">
        <v>47</v>
      </c>
      <c r="T74" s="1" t="s">
        <v>98</v>
      </c>
      <c r="U74" s="35" t="str">
        <f t="shared" si="2"/>
        <v>W</v>
      </c>
      <c r="V74" s="1" t="str">
        <f>_xlfn.CONCAT(EmployeeTable[[#This Row],[Region Code]],EmployeeTable[[#This Row],[Employee ID]],EmployeeTable[[#This Row],[First Name]],EmployeeTable[[#This Row],[Last Name]])</f>
        <v>W73IslaJohnson</v>
      </c>
      <c r="W74" s="31" t="str">
        <f>IF(AND(EmployeeTable[[#This Row],[Performance Rating]]&gt;=4, EmployeeTable[[#This Row],[Bonus]]&gt;=0.1),"Eligible","Not Eligible")</f>
        <v>Not Eligible</v>
      </c>
      <c r="X74" s="1"/>
      <c r="Y74" s="3"/>
      <c r="Z74" s="5"/>
    </row>
    <row r="75" spans="1:26" ht="17.25" x14ac:dyDescent="0.3">
      <c r="A75" s="12">
        <v>74</v>
      </c>
      <c r="B75" s="26" t="str">
        <f>LOWER(_xlfn.CONCAT(EmployeeTable[[#This Row],[First Name]],".",EmployeeTable[[#This Row],[Last Name]],"@company.com"))</f>
        <v>alice.taylor@company.com</v>
      </c>
      <c r="C75" s="1" t="s">
        <v>55</v>
      </c>
      <c r="D75" s="1" t="s">
        <v>70</v>
      </c>
      <c r="E75" s="1" t="s">
        <v>111</v>
      </c>
      <c r="F75" s="23" t="str">
        <f>LEFT(EmployeeTable[[#This Row],[First Name]],4)</f>
        <v>Alic</v>
      </c>
      <c r="G75" s="1"/>
      <c r="H75" s="1" t="s">
        <v>79</v>
      </c>
      <c r="I75" s="5" t="s">
        <v>80</v>
      </c>
      <c r="J75" s="8" t="s">
        <v>165</v>
      </c>
      <c r="K75" s="29" t="str">
        <f>TEXT(EmployeeTable[[#This Row],[Joining Date]],"MM-DD-YYYY")</f>
        <v>12-28-2017</v>
      </c>
      <c r="L75" s="6">
        <v>94036</v>
      </c>
      <c r="M75" s="1" t="s">
        <v>53</v>
      </c>
      <c r="N75" s="1" t="s">
        <v>38</v>
      </c>
      <c r="O75" s="1">
        <v>3.5</v>
      </c>
      <c r="P75" s="2">
        <v>13964</v>
      </c>
      <c r="Q75" s="2">
        <v>97897</v>
      </c>
      <c r="R75" s="1">
        <v>6.62</v>
      </c>
      <c r="S75" s="1">
        <v>31</v>
      </c>
      <c r="T75" s="1" t="s">
        <v>104</v>
      </c>
      <c r="U75" s="35" t="str">
        <f t="shared" si="2"/>
        <v>W</v>
      </c>
      <c r="V75" s="1" t="str">
        <f>_xlfn.CONCAT(EmployeeTable[[#This Row],[Region Code]],EmployeeTable[[#This Row],[Employee ID]],EmployeeTable[[#This Row],[First Name]],EmployeeTable[[#This Row],[Last Name]])</f>
        <v>W74AliceTaylor</v>
      </c>
      <c r="W75" s="31" t="str">
        <f>IF(AND(EmployeeTable[[#This Row],[Performance Rating]]&gt;=4, EmployeeTable[[#This Row],[Bonus]]&gt;=0.1),"Eligible","Not Eligible")</f>
        <v>Not Eligible</v>
      </c>
      <c r="X75" s="1"/>
      <c r="Y75" s="3"/>
      <c r="Z75" s="5"/>
    </row>
    <row r="76" spans="1:26" ht="17.25" x14ac:dyDescent="0.3">
      <c r="A76" s="12">
        <v>75</v>
      </c>
      <c r="B76" s="26" t="str">
        <f>LOWER(_xlfn.CONCAT(EmployeeTable[[#This Row],[First Name]],".",EmployeeTable[[#This Row],[Last Name]],"@company.com"))</f>
        <v>alice.davis@company.com</v>
      </c>
      <c r="C76" s="1" t="s">
        <v>40</v>
      </c>
      <c r="D76" s="1" t="s">
        <v>70</v>
      </c>
      <c r="E76" s="1" t="s">
        <v>76</v>
      </c>
      <c r="F76" s="23" t="str">
        <f>LEFT(EmployeeTable[[#This Row],[First Name]],4)</f>
        <v>Alic</v>
      </c>
      <c r="G76" s="1"/>
      <c r="H76" s="1" t="s">
        <v>79</v>
      </c>
      <c r="I76" s="5" t="s">
        <v>80</v>
      </c>
      <c r="J76" s="7" t="s">
        <v>166</v>
      </c>
      <c r="K76" s="28" t="str">
        <f>TEXT(EmployeeTable[[#This Row],[Joining Date]],"MM-DD-YYYY")</f>
        <v>12-21-2015</v>
      </c>
      <c r="L76" s="6">
        <v>87905</v>
      </c>
      <c r="M76" s="1" t="s">
        <v>97</v>
      </c>
      <c r="N76" s="1" t="s">
        <v>38</v>
      </c>
      <c r="O76" s="1">
        <v>5</v>
      </c>
      <c r="P76" s="2">
        <v>14185</v>
      </c>
      <c r="Q76" s="2">
        <v>10854</v>
      </c>
      <c r="R76" s="1">
        <v>6.29</v>
      </c>
      <c r="S76" s="1">
        <v>16</v>
      </c>
      <c r="T76" s="1" t="s">
        <v>98</v>
      </c>
      <c r="U76" s="35" t="str">
        <f t="shared" si="2"/>
        <v>W</v>
      </c>
      <c r="V76" s="1" t="str">
        <f>_xlfn.CONCAT(EmployeeTable[[#This Row],[Region Code]],EmployeeTable[[#This Row],[Employee ID]],EmployeeTable[[#This Row],[First Name]],EmployeeTable[[#This Row],[Last Name]])</f>
        <v>W75AliceDavis</v>
      </c>
      <c r="W76" s="31" t="str">
        <f>IF(AND(EmployeeTable[[#This Row],[Performance Rating]]&gt;=4, EmployeeTable[[#This Row],[Bonus]]&gt;=0.1),"Eligible","Not Eligible")</f>
        <v>Eligible</v>
      </c>
      <c r="X76" s="1"/>
      <c r="Y76" s="3"/>
      <c r="Z76" s="5"/>
    </row>
    <row r="77" spans="1:26" ht="17.25" x14ac:dyDescent="0.3">
      <c r="A77" s="12">
        <v>76</v>
      </c>
      <c r="B77" s="26" t="str">
        <f>LOWER(_xlfn.CONCAT(EmployeeTable[[#This Row],[First Name]],".",EmployeeTable[[#This Row],[Last Name]],"@company.com"))</f>
        <v>grace.davis@company.com</v>
      </c>
      <c r="C77" s="1" t="s">
        <v>40</v>
      </c>
      <c r="D77" s="1" t="s">
        <v>64</v>
      </c>
      <c r="E77" s="1" t="s">
        <v>76</v>
      </c>
      <c r="F77" s="23" t="str">
        <f>LEFT(EmployeeTable[[#This Row],[First Name]],4)</f>
        <v>Grac</v>
      </c>
      <c r="G77" s="1"/>
      <c r="H77" s="1" t="s">
        <v>83</v>
      </c>
      <c r="I77" s="5" t="s">
        <v>84</v>
      </c>
      <c r="J77" s="8" t="s">
        <v>167</v>
      </c>
      <c r="K77" s="29" t="str">
        <f>TEXT(EmployeeTable[[#This Row],[Joining Date]],"MM-DD-YYYY")</f>
        <v>12-09-2016</v>
      </c>
      <c r="L77" s="6">
        <v>48950</v>
      </c>
      <c r="M77" s="1" t="s">
        <v>115</v>
      </c>
      <c r="N77" s="1" t="s">
        <v>62</v>
      </c>
      <c r="O77" s="1">
        <v>4.8</v>
      </c>
      <c r="P77" s="2">
        <v>14206</v>
      </c>
      <c r="Q77" s="2">
        <v>19474</v>
      </c>
      <c r="R77" s="1">
        <v>4.25</v>
      </c>
      <c r="S77" s="1">
        <v>53</v>
      </c>
      <c r="T77" s="1" t="s">
        <v>98</v>
      </c>
      <c r="U77" s="35" t="str">
        <f t="shared" si="2"/>
        <v>E</v>
      </c>
      <c r="V77" s="1" t="str">
        <f>_xlfn.CONCAT(EmployeeTable[[#This Row],[Region Code]],EmployeeTable[[#This Row],[Employee ID]],EmployeeTable[[#This Row],[First Name]],EmployeeTable[[#This Row],[Last Name]])</f>
        <v>E76GraceDavis</v>
      </c>
      <c r="W77" s="31" t="str">
        <f>IF(AND(EmployeeTable[[#This Row],[Performance Rating]]&gt;=4, EmployeeTable[[#This Row],[Bonus]]&gt;=0.1),"Eligible","Not Eligible")</f>
        <v>Eligible</v>
      </c>
      <c r="X77" s="1"/>
      <c r="Y77" s="3"/>
      <c r="Z77" s="5"/>
    </row>
    <row r="78" spans="1:26" ht="17.25" x14ac:dyDescent="0.3">
      <c r="A78" s="12">
        <v>77</v>
      </c>
      <c r="B78" s="26" t="str">
        <f>LOWER(_xlfn.CONCAT(EmployeeTable[[#This Row],[First Name]],".",EmployeeTable[[#This Row],[Last Name]],"@company.com"))</f>
        <v>alice.clark@company.com</v>
      </c>
      <c r="C78" s="1" t="s">
        <v>55</v>
      </c>
      <c r="D78" s="1" t="s">
        <v>70</v>
      </c>
      <c r="E78" s="1" t="s">
        <v>25</v>
      </c>
      <c r="F78" s="23" t="str">
        <f>LEFT(EmployeeTable[[#This Row],[First Name]],4)</f>
        <v>Alic</v>
      </c>
      <c r="G78" s="1"/>
      <c r="H78" s="1" t="s">
        <v>42</v>
      </c>
      <c r="I78" s="5" t="s">
        <v>43</v>
      </c>
      <c r="J78" s="7" t="s">
        <v>168</v>
      </c>
      <c r="K78" s="28" t="str">
        <f>TEXT(EmployeeTable[[#This Row],[Joining Date]],"MM-DD-YYYY")</f>
        <v>09-30-2017</v>
      </c>
      <c r="L78" s="6">
        <v>67316</v>
      </c>
      <c r="M78" s="1" t="s">
        <v>115</v>
      </c>
      <c r="N78" s="1" t="s">
        <v>38</v>
      </c>
      <c r="O78" s="1">
        <v>4.2</v>
      </c>
      <c r="P78" s="2">
        <v>14666</v>
      </c>
      <c r="Q78" s="2">
        <v>62083</v>
      </c>
      <c r="R78" s="1">
        <v>8.91</v>
      </c>
      <c r="S78" s="1">
        <v>16</v>
      </c>
      <c r="T78" s="1" t="s">
        <v>104</v>
      </c>
      <c r="U78" s="35" t="str">
        <f t="shared" si="2"/>
        <v>W</v>
      </c>
      <c r="V78" s="1" t="str">
        <f>_xlfn.CONCAT(EmployeeTable[[#This Row],[Region Code]],EmployeeTable[[#This Row],[Employee ID]],EmployeeTable[[#This Row],[First Name]],EmployeeTable[[#This Row],[Last Name]])</f>
        <v>W77AliceClark</v>
      </c>
      <c r="W78" s="31" t="str">
        <f>IF(AND(EmployeeTable[[#This Row],[Performance Rating]]&gt;=4, EmployeeTable[[#This Row],[Bonus]]&gt;=0.1),"Eligible","Not Eligible")</f>
        <v>Eligible</v>
      </c>
      <c r="X78" s="1"/>
      <c r="Y78" s="3"/>
      <c r="Z78" s="5"/>
    </row>
    <row r="79" spans="1:26" ht="17.25" x14ac:dyDescent="0.3">
      <c r="A79" s="12">
        <v>78</v>
      </c>
      <c r="B79" s="26" t="str">
        <f>LOWER(_xlfn.CONCAT(EmployeeTable[[#This Row],[First Name]],".",EmployeeTable[[#This Row],[Last Name]],"@company.com"))</f>
        <v>grace.miller@company.com</v>
      </c>
      <c r="C79" s="1" t="s">
        <v>47</v>
      </c>
      <c r="D79" s="1" t="s">
        <v>64</v>
      </c>
      <c r="E79" s="1" t="s">
        <v>33</v>
      </c>
      <c r="F79" s="23" t="str">
        <f>LEFT(EmployeeTable[[#This Row],[First Name]],4)</f>
        <v>Grac</v>
      </c>
      <c r="G79" s="1"/>
      <c r="H79" s="1" t="s">
        <v>50</v>
      </c>
      <c r="I79" s="5" t="s">
        <v>51</v>
      </c>
      <c r="J79" s="8" t="s">
        <v>169</v>
      </c>
      <c r="K79" s="29" t="str">
        <f>TEXT(EmployeeTable[[#This Row],[Joining Date]],"MM-DD-YYYY")</f>
        <v>04-29-2015</v>
      </c>
      <c r="L79" s="6">
        <v>86143</v>
      </c>
      <c r="M79" s="1" t="s">
        <v>132</v>
      </c>
      <c r="N79" s="1" t="s">
        <v>30</v>
      </c>
      <c r="O79" s="1">
        <v>3.6</v>
      </c>
      <c r="P79" s="2">
        <v>14990</v>
      </c>
      <c r="Q79" s="2">
        <v>61005</v>
      </c>
      <c r="R79" s="1">
        <v>9.34</v>
      </c>
      <c r="S79" s="1">
        <v>12</v>
      </c>
      <c r="T79" s="1" t="s">
        <v>92</v>
      </c>
      <c r="U79" s="35" t="str">
        <f t="shared" si="2"/>
        <v>S</v>
      </c>
      <c r="V79" s="1" t="str">
        <f>_xlfn.CONCAT(EmployeeTable[[#This Row],[Region Code]],EmployeeTable[[#This Row],[Employee ID]],EmployeeTable[[#This Row],[First Name]],EmployeeTable[[#This Row],[Last Name]])</f>
        <v>S78GraceMiller</v>
      </c>
      <c r="W79" s="31" t="str">
        <f>IF(AND(EmployeeTable[[#This Row],[Performance Rating]]&gt;=4, EmployeeTable[[#This Row],[Bonus]]&gt;=0.1),"Eligible","Not Eligible")</f>
        <v>Not Eligible</v>
      </c>
      <c r="X79" s="1"/>
      <c r="Y79" s="3"/>
      <c r="Z79" s="5"/>
    </row>
    <row r="80" spans="1:26" ht="17.25" x14ac:dyDescent="0.3">
      <c r="A80" s="12">
        <v>79</v>
      </c>
      <c r="B80" s="26" t="str">
        <f>LOWER(_xlfn.CONCAT(EmployeeTable[[#This Row],[First Name]],".",EmployeeTable[[#This Row],[Last Name]],"@company.com"))</f>
        <v>henry.lee@company.com</v>
      </c>
      <c r="C80" s="1" t="s">
        <v>40</v>
      </c>
      <c r="D80" s="1" t="s">
        <v>48</v>
      </c>
      <c r="E80" s="1" t="s">
        <v>41</v>
      </c>
      <c r="F80" s="23" t="str">
        <f>LEFT(EmployeeTable[[#This Row],[First Name]],4)</f>
        <v>Henr</v>
      </c>
      <c r="G80" s="1"/>
      <c r="H80" s="1" t="s">
        <v>34</v>
      </c>
      <c r="I80" s="5" t="s">
        <v>35</v>
      </c>
      <c r="J80" s="7" t="s">
        <v>170</v>
      </c>
      <c r="K80" s="28" t="str">
        <f>TEXT(EmployeeTable[[#This Row],[Joining Date]],"MM-DD-YYYY")</f>
        <v>11-17-2018</v>
      </c>
      <c r="L80" s="6">
        <v>102839</v>
      </c>
      <c r="M80" s="1" t="s">
        <v>37</v>
      </c>
      <c r="N80" s="1" t="s">
        <v>30</v>
      </c>
      <c r="O80" s="1">
        <v>3.9</v>
      </c>
      <c r="P80" s="2">
        <v>15067</v>
      </c>
      <c r="Q80" s="2">
        <v>32671</v>
      </c>
      <c r="R80" s="1">
        <v>5.51</v>
      </c>
      <c r="S80" s="1">
        <v>59</v>
      </c>
      <c r="T80" s="1" t="s">
        <v>63</v>
      </c>
      <c r="U80" s="35" t="str">
        <f t="shared" si="2"/>
        <v>S</v>
      </c>
      <c r="V80" s="1" t="str">
        <f>_xlfn.CONCAT(EmployeeTable[[#This Row],[Region Code]],EmployeeTable[[#This Row],[Employee ID]],EmployeeTable[[#This Row],[First Name]],EmployeeTable[[#This Row],[Last Name]])</f>
        <v>S79HenryLee</v>
      </c>
      <c r="W80" s="31" t="str">
        <f>IF(AND(EmployeeTable[[#This Row],[Performance Rating]]&gt;=4, EmployeeTable[[#This Row],[Bonus]]&gt;=0.1),"Eligible","Not Eligible")</f>
        <v>Not Eligible</v>
      </c>
      <c r="X80" s="1"/>
      <c r="Y80" s="3"/>
      <c r="Z80" s="5"/>
    </row>
    <row r="81" spans="1:26" ht="17.25" x14ac:dyDescent="0.3">
      <c r="A81" s="12">
        <v>80</v>
      </c>
      <c r="B81" s="26" t="str">
        <f>LOWER(_xlfn.CONCAT(EmployeeTable[[#This Row],[First Name]],".",EmployeeTable[[#This Row],[Last Name]],"@company.com"))</f>
        <v>frank.miller@company.com</v>
      </c>
      <c r="C81" s="1" t="s">
        <v>40</v>
      </c>
      <c r="D81" s="1" t="s">
        <v>56</v>
      </c>
      <c r="E81" s="1" t="s">
        <v>33</v>
      </c>
      <c r="F81" s="23" t="str">
        <f>LEFT(EmployeeTable[[#This Row],[First Name]],4)</f>
        <v>Fran</v>
      </c>
      <c r="G81" s="1"/>
      <c r="H81" s="1" t="s">
        <v>83</v>
      </c>
      <c r="I81" s="5" t="s">
        <v>84</v>
      </c>
      <c r="J81" s="8" t="s">
        <v>171</v>
      </c>
      <c r="K81" s="29" t="str">
        <f>TEXT(EmployeeTable[[#This Row],[Joining Date]],"MM-DD-YYYY")</f>
        <v>07-03-2017</v>
      </c>
      <c r="L81" s="6">
        <v>63884</v>
      </c>
      <c r="M81" s="1" t="s">
        <v>91</v>
      </c>
      <c r="N81" s="1" t="s">
        <v>38</v>
      </c>
      <c r="O81" s="1">
        <v>3.8</v>
      </c>
      <c r="P81" s="2">
        <v>15417</v>
      </c>
      <c r="Q81" s="2">
        <v>71087</v>
      </c>
      <c r="R81" s="1">
        <v>7.13</v>
      </c>
      <c r="S81" s="1">
        <v>34</v>
      </c>
      <c r="T81" s="1" t="s">
        <v>75</v>
      </c>
      <c r="U81" s="35" t="str">
        <f t="shared" si="2"/>
        <v>W</v>
      </c>
      <c r="V81" s="1" t="str">
        <f>_xlfn.CONCAT(EmployeeTable[[#This Row],[Region Code]],EmployeeTable[[#This Row],[Employee ID]],EmployeeTable[[#This Row],[First Name]],EmployeeTable[[#This Row],[Last Name]])</f>
        <v>W80FrankMiller</v>
      </c>
      <c r="W81" s="31" t="str">
        <f>IF(AND(EmployeeTable[[#This Row],[Performance Rating]]&gt;=4, EmployeeTable[[#This Row],[Bonus]]&gt;=0.1),"Eligible","Not Eligible")</f>
        <v>Not Eligible</v>
      </c>
      <c r="X81" s="1"/>
      <c r="Y81" s="3"/>
      <c r="Z81" s="5"/>
    </row>
    <row r="82" spans="1:26" ht="17.25" x14ac:dyDescent="0.3">
      <c r="A82" s="12">
        <v>81</v>
      </c>
      <c r="B82" s="26" t="str">
        <f>LOWER(_xlfn.CONCAT(EmployeeTable[[#This Row],[First Name]],".",EmployeeTable[[#This Row],[Last Name]],"@company.com"))</f>
        <v>frank.taylor@company.com</v>
      </c>
      <c r="C82" s="1" t="s">
        <v>40</v>
      </c>
      <c r="D82" s="1" t="s">
        <v>56</v>
      </c>
      <c r="E82" s="1" t="s">
        <v>111</v>
      </c>
      <c r="F82" s="23" t="str">
        <f>LEFT(EmployeeTable[[#This Row],[First Name]],4)</f>
        <v>Fran</v>
      </c>
      <c r="G82" s="1"/>
      <c r="H82" s="1" t="s">
        <v>50</v>
      </c>
      <c r="I82" s="5" t="s">
        <v>51</v>
      </c>
      <c r="J82" s="7" t="s">
        <v>172</v>
      </c>
      <c r="K82" s="28" t="str">
        <f>TEXT(EmployeeTable[[#This Row],[Joining Date]],"MM-DD-YYYY")</f>
        <v>05-24-2018</v>
      </c>
      <c r="L82" s="6">
        <v>67443</v>
      </c>
      <c r="M82" s="1" t="s">
        <v>53</v>
      </c>
      <c r="N82" s="1" t="s">
        <v>54</v>
      </c>
      <c r="O82" s="1">
        <v>3.2</v>
      </c>
      <c r="P82" s="2">
        <v>15773</v>
      </c>
      <c r="Q82" s="2">
        <v>44754</v>
      </c>
      <c r="R82" s="1">
        <v>4.79</v>
      </c>
      <c r="S82" s="1">
        <v>47</v>
      </c>
      <c r="T82" s="1" t="s">
        <v>63</v>
      </c>
      <c r="U82" s="35" t="str">
        <f t="shared" si="2"/>
        <v>N</v>
      </c>
      <c r="V82" s="1" t="str">
        <f>_xlfn.CONCAT(EmployeeTable[[#This Row],[Region Code]],EmployeeTable[[#This Row],[Employee ID]],EmployeeTable[[#This Row],[First Name]],EmployeeTable[[#This Row],[Last Name]])</f>
        <v>N81FrankTaylor</v>
      </c>
      <c r="W82" s="31" t="str">
        <f>IF(AND(EmployeeTable[[#This Row],[Performance Rating]]&gt;=4, EmployeeTable[[#This Row],[Bonus]]&gt;=0.1),"Eligible","Not Eligible")</f>
        <v>Not Eligible</v>
      </c>
      <c r="X82" s="1"/>
      <c r="Y82" s="3"/>
      <c r="Z82" s="5"/>
    </row>
    <row r="83" spans="1:26" ht="17.25" x14ac:dyDescent="0.3">
      <c r="A83" s="12">
        <v>82</v>
      </c>
      <c r="B83" s="26" t="str">
        <f>LOWER(_xlfn.CONCAT(EmployeeTable[[#This Row],[First Name]],".",EmployeeTable[[#This Row],[Last Name]],"@company.com"))</f>
        <v>bob.davis@company.com</v>
      </c>
      <c r="C83" s="1" t="s">
        <v>40</v>
      </c>
      <c r="D83" s="1" t="s">
        <v>24</v>
      </c>
      <c r="E83" s="1" t="s">
        <v>76</v>
      </c>
      <c r="F83" s="23" t="str">
        <f>LEFT(EmployeeTable[[#This Row],[First Name]],4)</f>
        <v>Bob</v>
      </c>
      <c r="G83" s="1"/>
      <c r="H83" s="1" t="s">
        <v>58</v>
      </c>
      <c r="I83" s="5" t="s">
        <v>59</v>
      </c>
      <c r="J83" s="8" t="s">
        <v>173</v>
      </c>
      <c r="K83" s="29" t="str">
        <f>TEXT(EmployeeTable[[#This Row],[Joining Date]],"MM-DD-YYYY")</f>
        <v>12-02-2022</v>
      </c>
      <c r="L83" s="6">
        <v>98934</v>
      </c>
      <c r="M83" s="1" t="s">
        <v>29</v>
      </c>
      <c r="N83" s="1" t="s">
        <v>62</v>
      </c>
      <c r="O83" s="1">
        <v>4.3</v>
      </c>
      <c r="P83" s="2">
        <v>15986</v>
      </c>
      <c r="Q83" s="2">
        <v>77863</v>
      </c>
      <c r="R83" s="1">
        <v>5.76</v>
      </c>
      <c r="S83" s="1">
        <v>57</v>
      </c>
      <c r="T83" s="1" t="s">
        <v>98</v>
      </c>
      <c r="U83" s="35" t="str">
        <f t="shared" si="2"/>
        <v>E</v>
      </c>
      <c r="V83" s="1" t="str">
        <f>_xlfn.CONCAT(EmployeeTable[[#This Row],[Region Code]],EmployeeTable[[#This Row],[Employee ID]],EmployeeTable[[#This Row],[First Name]],EmployeeTable[[#This Row],[Last Name]])</f>
        <v>E82BobDavis</v>
      </c>
      <c r="W83" s="31" t="str">
        <f>IF(AND(EmployeeTable[[#This Row],[Performance Rating]]&gt;=4, EmployeeTable[[#This Row],[Bonus]]&gt;=0.1),"Eligible","Not Eligible")</f>
        <v>Eligible</v>
      </c>
      <c r="X83" s="1"/>
      <c r="Y83" s="3"/>
      <c r="Z83" s="5"/>
    </row>
    <row r="84" spans="1:26" ht="17.25" x14ac:dyDescent="0.3">
      <c r="A84" s="12">
        <v>83</v>
      </c>
      <c r="B84" s="26" t="str">
        <f>LOWER(_xlfn.CONCAT(EmployeeTable[[#This Row],[First Name]],".",EmployeeTable[[#This Row],[Last Name]],"@company.com"))</f>
        <v>jack.smith@company.com</v>
      </c>
      <c r="C84" s="1" t="s">
        <v>23</v>
      </c>
      <c r="D84" s="1" t="s">
        <v>93</v>
      </c>
      <c r="E84" s="1" t="s">
        <v>71</v>
      </c>
      <c r="F84" s="23" t="str">
        <f>LEFT(EmployeeTable[[#This Row],[First Name]],4)</f>
        <v>Jack</v>
      </c>
      <c r="G84" s="1"/>
      <c r="H84" s="1" t="s">
        <v>58</v>
      </c>
      <c r="I84" s="5" t="s">
        <v>59</v>
      </c>
      <c r="J84" s="7" t="s">
        <v>174</v>
      </c>
      <c r="K84" s="28" t="str">
        <f>TEXT(EmployeeTable[[#This Row],[Joining Date]],"MM-DD-YYYY")</f>
        <v>01-19-2016</v>
      </c>
      <c r="L84" s="6">
        <v>72853</v>
      </c>
      <c r="M84" s="1" t="s">
        <v>113</v>
      </c>
      <c r="N84" s="1" t="s">
        <v>62</v>
      </c>
      <c r="O84" s="1">
        <v>4.4000000000000004</v>
      </c>
      <c r="P84" s="2">
        <v>16039</v>
      </c>
      <c r="Q84" s="2">
        <v>61663</v>
      </c>
      <c r="R84" s="1">
        <v>8.94</v>
      </c>
      <c r="S84" s="1">
        <v>44</v>
      </c>
      <c r="T84" s="1" t="s">
        <v>39</v>
      </c>
      <c r="U84" s="35" t="str">
        <f t="shared" si="2"/>
        <v>E</v>
      </c>
      <c r="V84" s="1" t="str">
        <f>_xlfn.CONCAT(EmployeeTable[[#This Row],[Region Code]],EmployeeTable[[#This Row],[Employee ID]],EmployeeTable[[#This Row],[First Name]],EmployeeTable[[#This Row],[Last Name]])</f>
        <v>E83JackSmith</v>
      </c>
      <c r="W84" s="31" t="str">
        <f>IF(AND(EmployeeTable[[#This Row],[Performance Rating]]&gt;=4, EmployeeTable[[#This Row],[Bonus]]&gt;=0.1),"Eligible","Not Eligible")</f>
        <v>Eligible</v>
      </c>
      <c r="X84" s="1"/>
      <c r="Y84" s="3"/>
      <c r="Z84" s="5"/>
    </row>
    <row r="85" spans="1:26" ht="17.25" x14ac:dyDescent="0.3">
      <c r="A85" s="12">
        <v>84</v>
      </c>
      <c r="B85" s="26" t="str">
        <f>LOWER(_xlfn.CONCAT(EmployeeTable[[#This Row],[First Name]],".",EmployeeTable[[#This Row],[Last Name]],"@company.com"))</f>
        <v>henry.miller@company.com</v>
      </c>
      <c r="C85" s="1" t="s">
        <v>55</v>
      </c>
      <c r="D85" s="1" t="s">
        <v>48</v>
      </c>
      <c r="E85" s="1" t="s">
        <v>33</v>
      </c>
      <c r="F85" s="23" t="str">
        <f>LEFT(EmployeeTable[[#This Row],[First Name]],4)</f>
        <v>Henr</v>
      </c>
      <c r="G85" s="1"/>
      <c r="H85" s="1" t="s">
        <v>79</v>
      </c>
      <c r="I85" s="5" t="s">
        <v>80</v>
      </c>
      <c r="J85" s="8" t="s">
        <v>175</v>
      </c>
      <c r="K85" s="29" t="str">
        <f>TEXT(EmployeeTable[[#This Row],[Joining Date]],"MM-DD-YYYY")</f>
        <v>08-25-2015</v>
      </c>
      <c r="L85" s="6">
        <v>110404</v>
      </c>
      <c r="M85" s="1" t="s">
        <v>115</v>
      </c>
      <c r="N85" s="1" t="s">
        <v>38</v>
      </c>
      <c r="O85" s="1">
        <v>4.8</v>
      </c>
      <c r="P85" s="2">
        <v>16423</v>
      </c>
      <c r="Q85" s="2">
        <v>97939</v>
      </c>
      <c r="R85" s="1">
        <v>6.79</v>
      </c>
      <c r="S85" s="1">
        <v>25</v>
      </c>
      <c r="T85" s="1" t="s">
        <v>63</v>
      </c>
      <c r="U85" s="35" t="str">
        <f t="shared" si="2"/>
        <v>W</v>
      </c>
      <c r="V85" s="1" t="str">
        <f>_xlfn.CONCAT(EmployeeTable[[#This Row],[Region Code]],EmployeeTable[[#This Row],[Employee ID]],EmployeeTable[[#This Row],[First Name]],EmployeeTable[[#This Row],[Last Name]])</f>
        <v>W84HenryMiller</v>
      </c>
      <c r="W85" s="31" t="str">
        <f>IF(AND(EmployeeTable[[#This Row],[Performance Rating]]&gt;=4, EmployeeTable[[#This Row],[Bonus]]&gt;=0.1),"Eligible","Not Eligible")</f>
        <v>Eligible</v>
      </c>
      <c r="X85" s="1"/>
      <c r="Y85" s="3"/>
      <c r="Z85" s="5"/>
    </row>
    <row r="86" spans="1:26" ht="17.25" x14ac:dyDescent="0.3">
      <c r="A86" s="12">
        <v>85</v>
      </c>
      <c r="B86" s="26" t="str">
        <f>LOWER(_xlfn.CONCAT(EmployeeTable[[#This Row],[First Name]],".",EmployeeTable[[#This Row],[Last Name]],"@company.com"))</f>
        <v>grace.brown@company.com</v>
      </c>
      <c r="C86" s="1" t="s">
        <v>69</v>
      </c>
      <c r="D86" s="1" t="s">
        <v>64</v>
      </c>
      <c r="E86" s="1" t="s">
        <v>57</v>
      </c>
      <c r="F86" s="23" t="str">
        <f>LEFT(EmployeeTable[[#This Row],[First Name]],4)</f>
        <v>Grac</v>
      </c>
      <c r="G86" s="1"/>
      <c r="H86" s="1" t="s">
        <v>50</v>
      </c>
      <c r="I86" s="5" t="s">
        <v>51</v>
      </c>
      <c r="J86" s="7" t="s">
        <v>176</v>
      </c>
      <c r="K86" s="28" t="str">
        <f>TEXT(EmployeeTable[[#This Row],[Joining Date]],"MM-DD-YYYY")</f>
        <v>07-14-2016</v>
      </c>
      <c r="L86" s="6">
        <v>98392</v>
      </c>
      <c r="M86" s="1" t="s">
        <v>113</v>
      </c>
      <c r="N86" s="1" t="s">
        <v>62</v>
      </c>
      <c r="O86" s="1">
        <v>4</v>
      </c>
      <c r="P86" s="2">
        <v>16502</v>
      </c>
      <c r="Q86" s="2">
        <v>36105</v>
      </c>
      <c r="R86" s="1">
        <v>5.61</v>
      </c>
      <c r="S86" s="1">
        <v>50</v>
      </c>
      <c r="T86" s="1" t="s">
        <v>39</v>
      </c>
      <c r="U86" s="35" t="str">
        <f t="shared" si="2"/>
        <v>E</v>
      </c>
      <c r="V86" s="1" t="str">
        <f>_xlfn.CONCAT(EmployeeTable[[#This Row],[Region Code]],EmployeeTable[[#This Row],[Employee ID]],EmployeeTable[[#This Row],[First Name]],EmployeeTable[[#This Row],[Last Name]])</f>
        <v>E85GraceBrown</v>
      </c>
      <c r="W86" s="31" t="str">
        <f>IF(AND(EmployeeTable[[#This Row],[Performance Rating]]&gt;=4, EmployeeTable[[#This Row],[Bonus]]&gt;=0.1),"Eligible","Not Eligible")</f>
        <v>Eligible</v>
      </c>
      <c r="X86" s="1"/>
      <c r="Y86" s="3"/>
      <c r="Z86" s="5"/>
    </row>
    <row r="87" spans="1:26" ht="17.25" x14ac:dyDescent="0.3">
      <c r="A87" s="12">
        <v>86</v>
      </c>
      <c r="B87" s="26" t="str">
        <f>LOWER(_xlfn.CONCAT(EmployeeTable[[#This Row],[First Name]],".",EmployeeTable[[#This Row],[Last Name]],"@company.com"))</f>
        <v>henry.adams@company.com</v>
      </c>
      <c r="C87" s="1" t="s">
        <v>55</v>
      </c>
      <c r="D87" s="1" t="s">
        <v>48</v>
      </c>
      <c r="E87" s="1" t="s">
        <v>108</v>
      </c>
      <c r="F87" s="23" t="str">
        <f>LEFT(EmployeeTable[[#This Row],[First Name]],4)</f>
        <v>Henr</v>
      </c>
      <c r="G87" s="1"/>
      <c r="H87" s="1" t="s">
        <v>34</v>
      </c>
      <c r="I87" s="5" t="s">
        <v>35</v>
      </c>
      <c r="J87" s="8" t="s">
        <v>177</v>
      </c>
      <c r="K87" s="29" t="str">
        <f>TEXT(EmployeeTable[[#This Row],[Joining Date]],"MM-DD-YYYY")</f>
        <v>01-04-2020</v>
      </c>
      <c r="L87" s="6">
        <v>68951</v>
      </c>
      <c r="M87" s="1" t="s">
        <v>82</v>
      </c>
      <c r="N87" s="1" t="s">
        <v>62</v>
      </c>
      <c r="O87" s="1">
        <v>5</v>
      </c>
      <c r="P87" s="2">
        <v>16541</v>
      </c>
      <c r="Q87" s="2">
        <v>31959</v>
      </c>
      <c r="R87" s="1">
        <v>8.2100000000000009</v>
      </c>
      <c r="S87" s="1">
        <v>30</v>
      </c>
      <c r="T87" s="1" t="s">
        <v>63</v>
      </c>
      <c r="U87" s="35" t="str">
        <f t="shared" si="2"/>
        <v>E</v>
      </c>
      <c r="V87" s="1" t="str">
        <f>_xlfn.CONCAT(EmployeeTable[[#This Row],[Region Code]],EmployeeTable[[#This Row],[Employee ID]],EmployeeTable[[#This Row],[First Name]],EmployeeTable[[#This Row],[Last Name]])</f>
        <v>E86HenryAdams</v>
      </c>
      <c r="W87" s="31" t="str">
        <f>IF(AND(EmployeeTable[[#This Row],[Performance Rating]]&gt;=4, EmployeeTable[[#This Row],[Bonus]]&gt;=0.1),"Eligible","Not Eligible")</f>
        <v>Eligible</v>
      </c>
      <c r="X87" s="1"/>
      <c r="Y87" s="3"/>
      <c r="Z87" s="5"/>
    </row>
    <row r="88" spans="1:26" ht="17.25" x14ac:dyDescent="0.3">
      <c r="A88" s="12">
        <v>87</v>
      </c>
      <c r="B88" s="26" t="str">
        <f>LOWER(_xlfn.CONCAT(EmployeeTable[[#This Row],[First Name]],".",EmployeeTable[[#This Row],[Last Name]],"@company.com"))</f>
        <v>isla.lee@company.com</v>
      </c>
      <c r="C88" s="1" t="s">
        <v>55</v>
      </c>
      <c r="D88" s="1" t="s">
        <v>87</v>
      </c>
      <c r="E88" s="1" t="s">
        <v>41</v>
      </c>
      <c r="F88" s="23" t="str">
        <f>LEFT(EmployeeTable[[#This Row],[First Name]],4)</f>
        <v>Isla</v>
      </c>
      <c r="G88" s="1"/>
      <c r="H88" s="1" t="s">
        <v>79</v>
      </c>
      <c r="I88" s="5" t="s">
        <v>80</v>
      </c>
      <c r="J88" s="7" t="s">
        <v>178</v>
      </c>
      <c r="K88" s="28" t="str">
        <f>TEXT(EmployeeTable[[#This Row],[Joining Date]],"MM-DD-YYYY")</f>
        <v>01-01-2023</v>
      </c>
      <c r="L88" s="6">
        <v>50093</v>
      </c>
      <c r="M88" s="1" t="s">
        <v>129</v>
      </c>
      <c r="N88" s="1" t="s">
        <v>30</v>
      </c>
      <c r="O88" s="1">
        <v>4.4000000000000004</v>
      </c>
      <c r="P88" s="2">
        <v>16948</v>
      </c>
      <c r="Q88" s="2">
        <v>66250</v>
      </c>
      <c r="R88" s="1">
        <v>5.08</v>
      </c>
      <c r="S88" s="1">
        <v>21</v>
      </c>
      <c r="T88" s="1" t="s">
        <v>46</v>
      </c>
      <c r="U88" s="35" t="str">
        <f t="shared" si="2"/>
        <v>S</v>
      </c>
      <c r="V88" s="1" t="str">
        <f>_xlfn.CONCAT(EmployeeTable[[#This Row],[Region Code]],EmployeeTable[[#This Row],[Employee ID]],EmployeeTable[[#This Row],[First Name]],EmployeeTable[[#This Row],[Last Name]])</f>
        <v>S87IslaLee</v>
      </c>
      <c r="W88" s="31" t="str">
        <f>IF(AND(EmployeeTable[[#This Row],[Performance Rating]]&gt;=4, EmployeeTable[[#This Row],[Bonus]]&gt;=0.1),"Eligible","Not Eligible")</f>
        <v>Eligible</v>
      </c>
      <c r="X88" s="1"/>
      <c r="Y88" s="3"/>
      <c r="Z88" s="5"/>
    </row>
    <row r="89" spans="1:26" ht="17.25" x14ac:dyDescent="0.3">
      <c r="A89" s="12">
        <v>88</v>
      </c>
      <c r="B89" s="26" t="str">
        <f>LOWER(_xlfn.CONCAT(EmployeeTable[[#This Row],[First Name]],".",EmployeeTable[[#This Row],[Last Name]],"@company.com"))</f>
        <v>frank.johnson@company.com</v>
      </c>
      <c r="C89" s="1" t="s">
        <v>69</v>
      </c>
      <c r="D89" s="1" t="s">
        <v>56</v>
      </c>
      <c r="E89" s="1" t="s">
        <v>73</v>
      </c>
      <c r="F89" s="23" t="str">
        <f>LEFT(EmployeeTable[[#This Row],[First Name]],4)</f>
        <v>Fran</v>
      </c>
      <c r="G89" s="1"/>
      <c r="H89" s="1" t="s">
        <v>42</v>
      </c>
      <c r="I89" s="5" t="s">
        <v>43</v>
      </c>
      <c r="J89" s="8" t="s">
        <v>179</v>
      </c>
      <c r="K89" s="29" t="str">
        <f>TEXT(EmployeeTable[[#This Row],[Joining Date]],"MM-DD-YYYY")</f>
        <v>09-01-2017</v>
      </c>
      <c r="L89" s="6">
        <v>49326</v>
      </c>
      <c r="M89" s="1" t="s">
        <v>82</v>
      </c>
      <c r="N89" s="1" t="s">
        <v>62</v>
      </c>
      <c r="O89" s="1">
        <v>4.4000000000000004</v>
      </c>
      <c r="P89" s="2">
        <v>17265</v>
      </c>
      <c r="Q89" s="2">
        <v>35184</v>
      </c>
      <c r="R89" s="1">
        <v>4.78</v>
      </c>
      <c r="S89" s="1">
        <v>32</v>
      </c>
      <c r="T89" s="1" t="s">
        <v>39</v>
      </c>
      <c r="U89" s="35" t="str">
        <f t="shared" si="2"/>
        <v>E</v>
      </c>
      <c r="V89" s="1" t="str">
        <f>_xlfn.CONCAT(EmployeeTable[[#This Row],[Region Code]],EmployeeTable[[#This Row],[Employee ID]],EmployeeTable[[#This Row],[First Name]],EmployeeTable[[#This Row],[Last Name]])</f>
        <v>E88FrankJohnson</v>
      </c>
      <c r="W89" s="31" t="str">
        <f>IF(AND(EmployeeTable[[#This Row],[Performance Rating]]&gt;=4, EmployeeTable[[#This Row],[Bonus]]&gt;=0.1),"Eligible","Not Eligible")</f>
        <v>Eligible</v>
      </c>
      <c r="X89" s="1"/>
      <c r="Y89" s="3"/>
      <c r="Z89" s="5"/>
    </row>
    <row r="90" spans="1:26" ht="17.25" x14ac:dyDescent="0.3">
      <c r="A90" s="12">
        <v>89</v>
      </c>
      <c r="B90" s="26" t="str">
        <f>LOWER(_xlfn.CONCAT(EmployeeTable[[#This Row],[First Name]],".",EmployeeTable[[#This Row],[Last Name]],"@company.com"))</f>
        <v>jack.miller@company.com</v>
      </c>
      <c r="C90" s="1" t="s">
        <v>47</v>
      </c>
      <c r="D90" s="1" t="s">
        <v>93</v>
      </c>
      <c r="E90" s="1" t="s">
        <v>33</v>
      </c>
      <c r="F90" s="23" t="str">
        <f>LEFT(EmployeeTable[[#This Row],[First Name]],4)</f>
        <v>Jack</v>
      </c>
      <c r="G90" s="1"/>
      <c r="H90" s="1" t="s">
        <v>79</v>
      </c>
      <c r="I90" s="5" t="s">
        <v>80</v>
      </c>
      <c r="J90" s="7" t="s">
        <v>180</v>
      </c>
      <c r="K90" s="28" t="str">
        <f>TEXT(EmployeeTable[[#This Row],[Joining Date]],"MM-DD-YYYY")</f>
        <v>09-19-2018</v>
      </c>
      <c r="L90" s="6">
        <v>59821</v>
      </c>
      <c r="M90" s="1" t="s">
        <v>91</v>
      </c>
      <c r="N90" s="1" t="s">
        <v>62</v>
      </c>
      <c r="O90" s="1">
        <v>4</v>
      </c>
      <c r="P90" s="2">
        <v>17422</v>
      </c>
      <c r="Q90" s="2">
        <v>62662</v>
      </c>
      <c r="R90" s="1">
        <v>4.34</v>
      </c>
      <c r="S90" s="1">
        <v>39</v>
      </c>
      <c r="T90" s="1" t="s">
        <v>104</v>
      </c>
      <c r="U90" s="35" t="str">
        <f t="shared" si="2"/>
        <v>E</v>
      </c>
      <c r="V90" s="1" t="str">
        <f>_xlfn.CONCAT(EmployeeTable[[#This Row],[Region Code]],EmployeeTable[[#This Row],[Employee ID]],EmployeeTable[[#This Row],[First Name]],EmployeeTable[[#This Row],[Last Name]])</f>
        <v>E89JackMiller</v>
      </c>
      <c r="W90" s="31" t="str">
        <f>IF(AND(EmployeeTable[[#This Row],[Performance Rating]]&gt;=4, EmployeeTable[[#This Row],[Bonus]]&gt;=0.1),"Eligible","Not Eligible")</f>
        <v>Eligible</v>
      </c>
      <c r="X90" s="1"/>
      <c r="Y90" s="3"/>
      <c r="Z90" s="5"/>
    </row>
    <row r="91" spans="1:26" ht="17.25" x14ac:dyDescent="0.3">
      <c r="A91" s="12">
        <v>90</v>
      </c>
      <c r="B91" s="26" t="str">
        <f>LOWER(_xlfn.CONCAT(EmployeeTable[[#This Row],[First Name]],".",EmployeeTable[[#This Row],[Last Name]],"@company.com"))</f>
        <v>henry.green@company.com</v>
      </c>
      <c r="C91" s="1" t="s">
        <v>40</v>
      </c>
      <c r="D91" s="1" t="s">
        <v>48</v>
      </c>
      <c r="E91" s="1" t="s">
        <v>49</v>
      </c>
      <c r="F91" s="23" t="str">
        <f>LEFT(EmployeeTable[[#This Row],[First Name]],4)</f>
        <v>Henr</v>
      </c>
      <c r="G91" s="1"/>
      <c r="H91" s="1" t="s">
        <v>34</v>
      </c>
      <c r="I91" s="5" t="s">
        <v>35</v>
      </c>
      <c r="J91" s="8" t="s">
        <v>181</v>
      </c>
      <c r="K91" s="29" t="str">
        <f>TEXT(EmployeeTable[[#This Row],[Joining Date]],"MM-DD-YYYY")</f>
        <v>01-11-2022</v>
      </c>
      <c r="L91" s="6">
        <v>106644</v>
      </c>
      <c r="M91" s="1" t="s">
        <v>120</v>
      </c>
      <c r="N91" s="1" t="s">
        <v>54</v>
      </c>
      <c r="O91" s="1">
        <v>3.3</v>
      </c>
      <c r="P91" s="2">
        <v>17787</v>
      </c>
      <c r="Q91" s="2">
        <v>16776</v>
      </c>
      <c r="R91" s="1">
        <v>3.13</v>
      </c>
      <c r="S91" s="1">
        <v>27</v>
      </c>
      <c r="T91" s="1" t="s">
        <v>63</v>
      </c>
      <c r="U91" s="35" t="str">
        <f t="shared" si="2"/>
        <v>N</v>
      </c>
      <c r="V91" s="1" t="str">
        <f>_xlfn.CONCAT(EmployeeTable[[#This Row],[Region Code]],EmployeeTable[[#This Row],[Employee ID]],EmployeeTable[[#This Row],[First Name]],EmployeeTable[[#This Row],[Last Name]])</f>
        <v>N90HenryGreen</v>
      </c>
      <c r="W91" s="31" t="str">
        <f>IF(AND(EmployeeTable[[#This Row],[Performance Rating]]&gt;=4, EmployeeTable[[#This Row],[Bonus]]&gt;=0.1),"Eligible","Not Eligible")</f>
        <v>Not Eligible</v>
      </c>
      <c r="X91" s="1"/>
      <c r="Y91" s="3"/>
      <c r="Z91" s="5"/>
    </row>
    <row r="92" spans="1:26" ht="17.25" x14ac:dyDescent="0.3">
      <c r="A92" s="12">
        <v>91</v>
      </c>
      <c r="B92" s="26" t="str">
        <f>LOWER(_xlfn.CONCAT(EmployeeTable[[#This Row],[First Name]],".",EmployeeTable[[#This Row],[Last Name]],"@company.com"))</f>
        <v>carol.adams@company.com</v>
      </c>
      <c r="C92" s="1" t="s">
        <v>69</v>
      </c>
      <c r="D92" s="1" t="s">
        <v>66</v>
      </c>
      <c r="E92" s="1" t="s">
        <v>108</v>
      </c>
      <c r="F92" s="23" t="str">
        <f>LEFT(EmployeeTable[[#This Row],[First Name]],4)</f>
        <v>Caro</v>
      </c>
      <c r="G92" s="1"/>
      <c r="H92" s="1" t="s">
        <v>34</v>
      </c>
      <c r="I92" s="5" t="s">
        <v>35</v>
      </c>
      <c r="J92" s="7" t="s">
        <v>182</v>
      </c>
      <c r="K92" s="28" t="str">
        <f>TEXT(EmployeeTable[[#This Row],[Joining Date]],"MM-DD-YYYY")</f>
        <v>11-09-2016</v>
      </c>
      <c r="L92" s="6">
        <v>80211</v>
      </c>
      <c r="M92" s="4">
        <v>0.18</v>
      </c>
      <c r="N92" s="1" t="s">
        <v>30</v>
      </c>
      <c r="O92" s="1">
        <v>4.5999999999999996</v>
      </c>
      <c r="P92" s="2">
        <v>17795</v>
      </c>
      <c r="Q92" s="2">
        <v>16910</v>
      </c>
      <c r="R92" s="1">
        <v>3.67</v>
      </c>
      <c r="S92" s="1">
        <v>18</v>
      </c>
      <c r="T92" s="1" t="s">
        <v>31</v>
      </c>
      <c r="U92" s="35" t="str">
        <f t="shared" si="2"/>
        <v>S</v>
      </c>
      <c r="V92" s="1" t="str">
        <f>_xlfn.CONCAT(EmployeeTable[[#This Row],[Region Code]],EmployeeTable[[#This Row],[Employee ID]],EmployeeTable[[#This Row],[First Name]],EmployeeTable[[#This Row],[Last Name]])</f>
        <v>S91CarolAdams</v>
      </c>
      <c r="W92" s="31" t="str">
        <f>IF(AND(EmployeeTable[[#This Row],[Performance Rating]]&gt;=4, EmployeeTable[[#This Row],[Bonus]]&gt;=0.1),"Eligible","Not Eligible")</f>
        <v>Eligible</v>
      </c>
      <c r="X92" s="1"/>
      <c r="Y92" s="3"/>
      <c r="Z92" s="5"/>
    </row>
    <row r="93" spans="1:26" ht="17.25" x14ac:dyDescent="0.3">
      <c r="A93" s="12">
        <v>92</v>
      </c>
      <c r="B93" s="26" t="str">
        <f>LOWER(_xlfn.CONCAT(EmployeeTable[[#This Row],[First Name]],".",EmployeeTable[[#This Row],[Last Name]],"@company.com"))</f>
        <v>david.brown@company.com</v>
      </c>
      <c r="C93" s="1" t="s">
        <v>23</v>
      </c>
      <c r="D93" s="1" t="s">
        <v>32</v>
      </c>
      <c r="E93" s="1" t="s">
        <v>57</v>
      </c>
      <c r="F93" s="23" t="str">
        <f>LEFT(EmployeeTable[[#This Row],[First Name]],4)</f>
        <v>Davi</v>
      </c>
      <c r="G93" s="1"/>
      <c r="H93" s="1" t="s">
        <v>58</v>
      </c>
      <c r="I93" s="5" t="s">
        <v>59</v>
      </c>
      <c r="J93" s="8" t="s">
        <v>183</v>
      </c>
      <c r="K93" s="29" t="str">
        <f>TEXT(EmployeeTable[[#This Row],[Joining Date]],"MM-DD-YYYY")</f>
        <v>10-08-2019</v>
      </c>
      <c r="L93" s="6">
        <v>106615</v>
      </c>
      <c r="M93" s="1" t="s">
        <v>129</v>
      </c>
      <c r="N93" s="1" t="s">
        <v>38</v>
      </c>
      <c r="O93" s="1">
        <v>4.3</v>
      </c>
      <c r="P93" s="2">
        <v>18023</v>
      </c>
      <c r="Q93" s="2">
        <v>90356</v>
      </c>
      <c r="R93" s="1">
        <v>4.5999999999999996</v>
      </c>
      <c r="S93" s="1">
        <v>34</v>
      </c>
      <c r="T93" s="1" t="s">
        <v>92</v>
      </c>
      <c r="U93" s="35" t="str">
        <f t="shared" si="2"/>
        <v>W</v>
      </c>
      <c r="V93" s="1" t="str">
        <f>_xlfn.CONCAT(EmployeeTable[[#This Row],[Region Code]],EmployeeTable[[#This Row],[Employee ID]],EmployeeTable[[#This Row],[First Name]],EmployeeTable[[#This Row],[Last Name]])</f>
        <v>W92DavidBrown</v>
      </c>
      <c r="W93" s="31" t="str">
        <f>IF(AND(EmployeeTable[[#This Row],[Performance Rating]]&gt;=4, EmployeeTable[[#This Row],[Bonus]]&gt;=0.1),"Eligible","Not Eligible")</f>
        <v>Eligible</v>
      </c>
      <c r="X93" s="1"/>
      <c r="Y93" s="3"/>
      <c r="Z93" s="5"/>
    </row>
    <row r="94" spans="1:26" ht="17.25" x14ac:dyDescent="0.3">
      <c r="A94" s="12">
        <v>93</v>
      </c>
      <c r="B94" s="26" t="str">
        <f>LOWER(_xlfn.CONCAT(EmployeeTable[[#This Row],[First Name]],".",EmployeeTable[[#This Row],[Last Name]],"@company.com"))</f>
        <v>frank.brown@company.com</v>
      </c>
      <c r="C94" s="1" t="s">
        <v>47</v>
      </c>
      <c r="D94" s="1" t="s">
        <v>56</v>
      </c>
      <c r="E94" s="1" t="s">
        <v>57</v>
      </c>
      <c r="F94" s="23" t="str">
        <f>LEFT(EmployeeTable[[#This Row],[First Name]],4)</f>
        <v>Fran</v>
      </c>
      <c r="G94" s="1"/>
      <c r="H94" s="1" t="s">
        <v>101</v>
      </c>
      <c r="I94" s="5" t="s">
        <v>102</v>
      </c>
      <c r="J94" s="7" t="s">
        <v>184</v>
      </c>
      <c r="K94" s="28" t="str">
        <f>TEXT(EmployeeTable[[#This Row],[Joining Date]],"MM-DD-YYYY")</f>
        <v>10-23-2015</v>
      </c>
      <c r="L94" s="6">
        <v>119285</v>
      </c>
      <c r="M94" s="1" t="s">
        <v>89</v>
      </c>
      <c r="N94" s="1" t="s">
        <v>62</v>
      </c>
      <c r="O94" s="1">
        <v>4.0999999999999996</v>
      </c>
      <c r="P94" s="2">
        <v>18216</v>
      </c>
      <c r="Q94" s="2">
        <v>60859</v>
      </c>
      <c r="R94" s="1">
        <v>6.87</v>
      </c>
      <c r="S94" s="1">
        <v>27</v>
      </c>
      <c r="T94" s="1" t="s">
        <v>75</v>
      </c>
      <c r="U94" s="35" t="str">
        <f t="shared" si="2"/>
        <v>E</v>
      </c>
      <c r="V94" s="1" t="str">
        <f>_xlfn.CONCAT(EmployeeTable[[#This Row],[Region Code]],EmployeeTable[[#This Row],[Employee ID]],EmployeeTable[[#This Row],[First Name]],EmployeeTable[[#This Row],[Last Name]])</f>
        <v>E93FrankBrown</v>
      </c>
      <c r="W94" s="31" t="str">
        <f>IF(AND(EmployeeTable[[#This Row],[Performance Rating]]&gt;=4, EmployeeTable[[#This Row],[Bonus]]&gt;=0.1),"Eligible","Not Eligible")</f>
        <v>Eligible</v>
      </c>
      <c r="X94" s="1"/>
      <c r="Y94" s="3"/>
      <c r="Z94" s="5"/>
    </row>
    <row r="95" spans="1:26" ht="17.25" x14ac:dyDescent="0.3">
      <c r="A95" s="12">
        <v>94</v>
      </c>
      <c r="B95" s="26" t="str">
        <f>LOWER(_xlfn.CONCAT(EmployeeTable[[#This Row],[First Name]],".",EmployeeTable[[#This Row],[Last Name]],"@company.com"))</f>
        <v>isla.brown@company.com</v>
      </c>
      <c r="C95" s="1" t="s">
        <v>47</v>
      </c>
      <c r="D95" s="1" t="s">
        <v>87</v>
      </c>
      <c r="E95" s="1" t="s">
        <v>57</v>
      </c>
      <c r="F95" s="23" t="str">
        <f>LEFT(EmployeeTable[[#This Row],[First Name]],4)</f>
        <v>Isla</v>
      </c>
      <c r="G95" s="1"/>
      <c r="H95" s="1" t="s">
        <v>101</v>
      </c>
      <c r="I95" s="5" t="s">
        <v>102</v>
      </c>
      <c r="J95" s="8" t="s">
        <v>185</v>
      </c>
      <c r="K95" s="29" t="str">
        <f>TEXT(EmployeeTable[[#This Row],[Joining Date]],"MM-DD-YYYY")</f>
        <v>04-21-2021</v>
      </c>
      <c r="L95" s="6">
        <v>90622</v>
      </c>
      <c r="M95" s="1" t="s">
        <v>68</v>
      </c>
      <c r="N95" s="1" t="s">
        <v>54</v>
      </c>
      <c r="O95" s="1">
        <v>4.0999999999999996</v>
      </c>
      <c r="P95" s="2">
        <v>18448</v>
      </c>
      <c r="Q95" s="2">
        <v>97092</v>
      </c>
      <c r="R95" s="1">
        <v>5.32</v>
      </c>
      <c r="S95" s="1">
        <v>37</v>
      </c>
      <c r="T95" s="1" t="s">
        <v>92</v>
      </c>
      <c r="U95" s="35" t="str">
        <f t="shared" si="2"/>
        <v>N</v>
      </c>
      <c r="V95" s="1" t="str">
        <f>_xlfn.CONCAT(EmployeeTable[[#This Row],[Region Code]],EmployeeTable[[#This Row],[Employee ID]],EmployeeTable[[#This Row],[First Name]],EmployeeTable[[#This Row],[Last Name]])</f>
        <v>N94IslaBrown</v>
      </c>
      <c r="W95" s="31" t="str">
        <f>IF(AND(EmployeeTable[[#This Row],[Performance Rating]]&gt;=4, EmployeeTable[[#This Row],[Bonus]]&gt;=0.1),"Eligible","Not Eligible")</f>
        <v>Eligible</v>
      </c>
      <c r="X95" s="1"/>
      <c r="Y95" s="3"/>
      <c r="Z95" s="5"/>
    </row>
    <row r="96" spans="1:26" ht="17.25" x14ac:dyDescent="0.3">
      <c r="A96" s="12">
        <v>95</v>
      </c>
      <c r="B96" s="26" t="str">
        <f>LOWER(_xlfn.CONCAT(EmployeeTable[[#This Row],[First Name]],".",EmployeeTable[[#This Row],[Last Name]],"@company.com"))</f>
        <v>david.davis@company.com</v>
      </c>
      <c r="C96" s="1" t="s">
        <v>40</v>
      </c>
      <c r="D96" s="1" t="s">
        <v>32</v>
      </c>
      <c r="E96" s="1" t="s">
        <v>76</v>
      </c>
      <c r="F96" s="23" t="str">
        <f>LEFT(EmployeeTable[[#This Row],[First Name]],4)</f>
        <v>Davi</v>
      </c>
      <c r="G96" s="1"/>
      <c r="H96" s="1" t="s">
        <v>58</v>
      </c>
      <c r="I96" s="5" t="s">
        <v>59</v>
      </c>
      <c r="J96" s="7" t="s">
        <v>186</v>
      </c>
      <c r="K96" s="28" t="str">
        <f>TEXT(EmployeeTable[[#This Row],[Joining Date]],"MM-DD-YYYY")</f>
        <v>02-10-2022</v>
      </c>
      <c r="L96" s="6">
        <v>69868</v>
      </c>
      <c r="M96" s="1" t="s">
        <v>82</v>
      </c>
      <c r="N96" s="1" t="s">
        <v>54</v>
      </c>
      <c r="O96" s="1">
        <v>4</v>
      </c>
      <c r="P96" s="2">
        <v>18850</v>
      </c>
      <c r="Q96" s="2">
        <v>60015</v>
      </c>
      <c r="R96" s="1">
        <v>8.15</v>
      </c>
      <c r="S96" s="1">
        <v>57</v>
      </c>
      <c r="T96" s="1" t="s">
        <v>31</v>
      </c>
      <c r="U96" s="35" t="str">
        <f t="shared" si="2"/>
        <v>N</v>
      </c>
      <c r="V96" s="1" t="str">
        <f>_xlfn.CONCAT(EmployeeTable[[#This Row],[Region Code]],EmployeeTable[[#This Row],[Employee ID]],EmployeeTable[[#This Row],[First Name]],EmployeeTable[[#This Row],[Last Name]])</f>
        <v>N95DavidDavis</v>
      </c>
      <c r="W96" s="31" t="str">
        <f>IF(AND(EmployeeTable[[#This Row],[Performance Rating]]&gt;=4, EmployeeTable[[#This Row],[Bonus]]&gt;=0.1),"Eligible","Not Eligible")</f>
        <v>Eligible</v>
      </c>
      <c r="X96" s="1"/>
      <c r="Y96" s="3"/>
      <c r="Z96" s="5"/>
    </row>
    <row r="97" spans="1:26" ht="17.25" x14ac:dyDescent="0.3">
      <c r="A97" s="12">
        <v>96</v>
      </c>
      <c r="B97" s="26" t="str">
        <f>LOWER(_xlfn.CONCAT(EmployeeTable[[#This Row],[First Name]],".",EmployeeTable[[#This Row],[Last Name]],"@company.com"))</f>
        <v>bob.green@company.com</v>
      </c>
      <c r="C97" s="1" t="s">
        <v>55</v>
      </c>
      <c r="D97" s="1" t="s">
        <v>24</v>
      </c>
      <c r="E97" s="1" t="s">
        <v>49</v>
      </c>
      <c r="F97" s="23" t="str">
        <f>LEFT(EmployeeTable[[#This Row],[First Name]],4)</f>
        <v>Bob</v>
      </c>
      <c r="G97" s="1"/>
      <c r="H97" s="1" t="s">
        <v>58</v>
      </c>
      <c r="I97" s="5" t="s">
        <v>59</v>
      </c>
      <c r="J97" s="8" t="s">
        <v>187</v>
      </c>
      <c r="K97" s="29" t="str">
        <f>TEXT(EmployeeTable[[#This Row],[Joining Date]],"MM-DD-YYYY")</f>
        <v>11-06-2019</v>
      </c>
      <c r="L97" s="6">
        <v>116349</v>
      </c>
      <c r="M97" s="1" t="s">
        <v>113</v>
      </c>
      <c r="N97" s="1" t="s">
        <v>30</v>
      </c>
      <c r="O97" s="1">
        <v>3.1</v>
      </c>
      <c r="P97" s="2">
        <v>19159</v>
      </c>
      <c r="Q97" s="2">
        <v>65016</v>
      </c>
      <c r="R97" s="1">
        <v>6.46</v>
      </c>
      <c r="S97" s="1">
        <v>24</v>
      </c>
      <c r="T97" s="1" t="s">
        <v>92</v>
      </c>
      <c r="U97" s="35" t="str">
        <f t="shared" si="2"/>
        <v>S</v>
      </c>
      <c r="V97" s="1" t="str">
        <f>_xlfn.CONCAT(EmployeeTable[[#This Row],[Region Code]],EmployeeTable[[#This Row],[Employee ID]],EmployeeTable[[#This Row],[First Name]],EmployeeTable[[#This Row],[Last Name]])</f>
        <v>S96BobGreen</v>
      </c>
      <c r="W97" s="31" t="str">
        <f>IF(AND(EmployeeTable[[#This Row],[Performance Rating]]&gt;=4, EmployeeTable[[#This Row],[Bonus]]&gt;=0.1),"Eligible","Not Eligible")</f>
        <v>Not Eligible</v>
      </c>
      <c r="X97" s="1"/>
      <c r="Y97" s="3"/>
      <c r="Z97" s="5"/>
    </row>
    <row r="98" spans="1:26" ht="17.25" x14ac:dyDescent="0.3">
      <c r="A98" s="12">
        <v>97</v>
      </c>
      <c r="B98" s="26" t="str">
        <f>LOWER(_xlfn.CONCAT(EmployeeTable[[#This Row],[First Name]],".",EmployeeTable[[#This Row],[Last Name]],"@company.com"))</f>
        <v>isla.johnson@company.com</v>
      </c>
      <c r="C98" s="1" t="s">
        <v>47</v>
      </c>
      <c r="D98" s="1" t="s">
        <v>87</v>
      </c>
      <c r="E98" s="1" t="s">
        <v>73</v>
      </c>
      <c r="F98" s="23" t="str">
        <f>LEFT(EmployeeTable[[#This Row],[First Name]],4)</f>
        <v>Isla</v>
      </c>
      <c r="G98" s="1"/>
      <c r="H98" s="1" t="s">
        <v>79</v>
      </c>
      <c r="I98" s="5" t="s">
        <v>80</v>
      </c>
      <c r="J98" s="7" t="s">
        <v>188</v>
      </c>
      <c r="K98" s="28" t="str">
        <f>TEXT(EmployeeTable[[#This Row],[Joining Date]],"MM-DD-YYYY")</f>
        <v>05-31-2020</v>
      </c>
      <c r="L98" s="6">
        <v>61391</v>
      </c>
      <c r="M98" s="1" t="s">
        <v>115</v>
      </c>
      <c r="N98" s="1" t="s">
        <v>54</v>
      </c>
      <c r="O98" s="1">
        <v>3</v>
      </c>
      <c r="P98" s="2">
        <v>19262</v>
      </c>
      <c r="Q98" s="2">
        <v>95616</v>
      </c>
      <c r="R98" s="1">
        <v>3.31</v>
      </c>
      <c r="S98" s="1">
        <v>27</v>
      </c>
      <c r="T98" s="1" t="s">
        <v>104</v>
      </c>
      <c r="U98" s="35" t="str">
        <f t="shared" si="2"/>
        <v>N</v>
      </c>
      <c r="V98" s="1" t="str">
        <f>_xlfn.CONCAT(EmployeeTable[[#This Row],[Region Code]],EmployeeTable[[#This Row],[Employee ID]],EmployeeTable[[#This Row],[First Name]],EmployeeTable[[#This Row],[Last Name]])</f>
        <v>N97IslaJohnson</v>
      </c>
      <c r="W98" s="31" t="str">
        <f>IF(AND(EmployeeTable[[#This Row],[Performance Rating]]&gt;=4, EmployeeTable[[#This Row],[Bonus]]&gt;=0.1),"Eligible","Not Eligible")</f>
        <v>Not Eligible</v>
      </c>
      <c r="X98" s="1"/>
      <c r="Y98" s="3"/>
      <c r="Z98" s="5"/>
    </row>
    <row r="99" spans="1:26" ht="17.25" x14ac:dyDescent="0.3">
      <c r="A99" s="12">
        <v>98</v>
      </c>
      <c r="B99" s="26" t="str">
        <f>LOWER(_xlfn.CONCAT(EmployeeTable[[#This Row],[First Name]],".",EmployeeTable[[#This Row],[Last Name]],"@company.com"))</f>
        <v>david.smith@company.com</v>
      </c>
      <c r="C99" s="1" t="s">
        <v>69</v>
      </c>
      <c r="D99" s="1" t="s">
        <v>32</v>
      </c>
      <c r="E99" s="1" t="s">
        <v>71</v>
      </c>
      <c r="F99" s="23" t="str">
        <f>LEFT(EmployeeTable[[#This Row],[First Name]],4)</f>
        <v>Davi</v>
      </c>
      <c r="G99" s="1"/>
      <c r="H99" s="1" t="s">
        <v>83</v>
      </c>
      <c r="I99" s="5" t="s">
        <v>84</v>
      </c>
      <c r="J99" s="8" t="s">
        <v>189</v>
      </c>
      <c r="K99" s="29" t="str">
        <f>TEXT(EmployeeTable[[#This Row],[Joining Date]],"MM-DD-YYYY")</f>
        <v>07-18-2021</v>
      </c>
      <c r="L99" s="6">
        <v>88680</v>
      </c>
      <c r="M99" s="1" t="s">
        <v>91</v>
      </c>
      <c r="N99" s="1" t="s">
        <v>30</v>
      </c>
      <c r="O99" s="1">
        <v>3.5</v>
      </c>
      <c r="P99" s="2">
        <v>19412</v>
      </c>
      <c r="Q99" s="2">
        <v>21411</v>
      </c>
      <c r="R99" s="1">
        <v>7.28</v>
      </c>
      <c r="S99" s="1">
        <v>45</v>
      </c>
      <c r="T99" s="1" t="s">
        <v>46</v>
      </c>
      <c r="U99" s="35" t="str">
        <f t="shared" si="2"/>
        <v>S</v>
      </c>
      <c r="V99" s="1" t="str">
        <f>_xlfn.CONCAT(EmployeeTable[[#This Row],[Region Code]],EmployeeTable[[#This Row],[Employee ID]],EmployeeTable[[#This Row],[First Name]],EmployeeTable[[#This Row],[Last Name]])</f>
        <v>S98DavidSmith</v>
      </c>
      <c r="W99" s="31" t="str">
        <f>IF(AND(EmployeeTable[[#This Row],[Performance Rating]]&gt;=4, EmployeeTable[[#This Row],[Bonus]]&gt;=0.1),"Eligible","Not Eligible")</f>
        <v>Not Eligible</v>
      </c>
      <c r="X99" s="1"/>
      <c r="Y99" s="3"/>
      <c r="Z99" s="5"/>
    </row>
    <row r="100" spans="1:26" ht="17.25" x14ac:dyDescent="0.3">
      <c r="A100" s="12">
        <v>99</v>
      </c>
      <c r="B100" s="26" t="str">
        <f>LOWER(_xlfn.CONCAT(EmployeeTable[[#This Row],[First Name]],".",EmployeeTable[[#This Row],[Last Name]],"@company.com"))</f>
        <v>bob.johnson@company.com</v>
      </c>
      <c r="C100" s="1" t="s">
        <v>55</v>
      </c>
      <c r="D100" s="1" t="s">
        <v>24</v>
      </c>
      <c r="E100" s="1" t="s">
        <v>73</v>
      </c>
      <c r="F100" s="23" t="str">
        <f>LEFT(EmployeeTable[[#This Row],[First Name]],4)</f>
        <v>Bob</v>
      </c>
      <c r="G100" s="1"/>
      <c r="H100" s="1" t="s">
        <v>42</v>
      </c>
      <c r="I100" s="5" t="s">
        <v>43</v>
      </c>
      <c r="J100" s="7" t="s">
        <v>190</v>
      </c>
      <c r="K100" s="28" t="str">
        <f>TEXT(EmployeeTable[[#This Row],[Joining Date]],"MM-DD-YYYY")</f>
        <v>06-04-2017</v>
      </c>
      <c r="L100" s="6">
        <v>59286</v>
      </c>
      <c r="M100" s="1" t="s">
        <v>91</v>
      </c>
      <c r="N100" s="1" t="s">
        <v>62</v>
      </c>
      <c r="O100" s="1">
        <v>3.8</v>
      </c>
      <c r="P100" s="2">
        <v>19568</v>
      </c>
      <c r="Q100" s="2">
        <v>85450</v>
      </c>
      <c r="R100" s="1">
        <v>9.18</v>
      </c>
      <c r="S100" s="1">
        <v>36</v>
      </c>
      <c r="T100" s="1" t="s">
        <v>46</v>
      </c>
      <c r="U100" s="35" t="str">
        <f t="shared" si="2"/>
        <v>E</v>
      </c>
      <c r="V100" s="1" t="str">
        <f>_xlfn.CONCAT(EmployeeTable[[#This Row],[Region Code]],EmployeeTable[[#This Row],[Employee ID]],EmployeeTable[[#This Row],[First Name]],EmployeeTable[[#This Row],[Last Name]])</f>
        <v>E99BobJohnson</v>
      </c>
      <c r="W100" s="31" t="str">
        <f>IF(AND(EmployeeTable[[#This Row],[Performance Rating]]&gt;=4, EmployeeTable[[#This Row],[Bonus]]&gt;=0.1),"Eligible","Not Eligible")</f>
        <v>Not Eligible</v>
      </c>
      <c r="X100" s="1"/>
      <c r="Y100" s="3"/>
      <c r="Z100" s="5"/>
    </row>
    <row r="101" spans="1:26" ht="17.25" x14ac:dyDescent="0.3">
      <c r="A101" s="12">
        <v>100</v>
      </c>
      <c r="B101" s="26" t="str">
        <f>LOWER(_xlfn.CONCAT(EmployeeTable[[#This Row],[First Name]],".",EmployeeTable[[#This Row],[Last Name]],"@company.com"))</f>
        <v>david.johnson@company.com</v>
      </c>
      <c r="C101" s="1" t="s">
        <v>69</v>
      </c>
      <c r="D101" s="1" t="s">
        <v>32</v>
      </c>
      <c r="E101" s="1" t="s">
        <v>73</v>
      </c>
      <c r="F101" s="23" t="str">
        <f>LEFT(EmployeeTable[[#This Row],[First Name]],4)</f>
        <v>Davi</v>
      </c>
      <c r="G101" s="1"/>
      <c r="H101" s="1" t="s">
        <v>42</v>
      </c>
      <c r="I101" s="5" t="s">
        <v>43</v>
      </c>
      <c r="J101" s="8" t="s">
        <v>191</v>
      </c>
      <c r="K101" s="29" t="str">
        <f>TEXT(EmployeeTable[[#This Row],[Joining Date]],"MM-DD-YYYY")</f>
        <v>03-15-2019</v>
      </c>
      <c r="L101" s="6">
        <v>111329</v>
      </c>
      <c r="M101" s="1" t="s">
        <v>37</v>
      </c>
      <c r="N101" s="1" t="s">
        <v>62</v>
      </c>
      <c r="O101" s="1">
        <v>3.9</v>
      </c>
      <c r="P101" s="2">
        <v>19912</v>
      </c>
      <c r="Q101" s="2">
        <v>35939</v>
      </c>
      <c r="R101" s="1">
        <v>8.9600000000000009</v>
      </c>
      <c r="S101" s="1">
        <v>44</v>
      </c>
      <c r="T101" s="1" t="s">
        <v>39</v>
      </c>
      <c r="U101" s="35" t="str">
        <f t="shared" si="2"/>
        <v>E</v>
      </c>
      <c r="V101" s="1" t="str">
        <f>_xlfn.CONCAT(EmployeeTable[[#This Row],[Region Code]],EmployeeTable[[#This Row],[Employee ID]],EmployeeTable[[#This Row],[First Name]],EmployeeTable[[#This Row],[Last Name]])</f>
        <v>E100DavidJohnson</v>
      </c>
      <c r="W101" s="31" t="str">
        <f>IF(AND(EmployeeTable[[#This Row],[Performance Rating]]&gt;=4, EmployeeTable[[#This Row],[Bonus]]&gt;=0.1),"Eligible","Not Eligible")</f>
        <v>Not Eligible</v>
      </c>
      <c r="X101" s="1"/>
      <c r="Y101" s="3"/>
      <c r="Z101" s="5"/>
    </row>
    <row r="106" spans="1:26" x14ac:dyDescent="0.25">
      <c r="C106" s="95" t="s">
        <v>192</v>
      </c>
      <c r="D106" s="95"/>
      <c r="E106" s="95"/>
      <c r="F106" s="95"/>
      <c r="G106" s="95"/>
      <c r="H106" s="95"/>
      <c r="I106" s="11"/>
    </row>
    <row r="107" spans="1:26" ht="15" customHeight="1" x14ac:dyDescent="0.25">
      <c r="C107" s="96" t="s">
        <v>193</v>
      </c>
      <c r="D107" s="96"/>
      <c r="E107" s="96"/>
      <c r="F107" s="96"/>
      <c r="G107" s="96"/>
      <c r="H107" s="96"/>
      <c r="I107" s="11"/>
    </row>
    <row r="108" spans="1:26" ht="15" customHeight="1" x14ac:dyDescent="0.25">
      <c r="C108" s="96" t="s">
        <v>194</v>
      </c>
      <c r="D108" s="96"/>
      <c r="E108" s="96"/>
      <c r="F108" s="96"/>
      <c r="G108" s="96"/>
      <c r="H108" s="96"/>
      <c r="I108" s="11"/>
    </row>
    <row r="109" spans="1:26" ht="15" customHeight="1" x14ac:dyDescent="0.25">
      <c r="C109" s="96" t="s">
        <v>195</v>
      </c>
      <c r="D109" s="96"/>
      <c r="E109" s="96"/>
      <c r="F109" s="96"/>
      <c r="G109" s="96"/>
      <c r="H109" s="96"/>
      <c r="I109" s="11"/>
    </row>
    <row r="110" spans="1:26" x14ac:dyDescent="0.25">
      <c r="C110" s="9" t="s">
        <v>196</v>
      </c>
      <c r="D110" s="9"/>
      <c r="E110" s="9"/>
      <c r="F110" s="24"/>
      <c r="G110" s="9"/>
      <c r="H110" s="9"/>
      <c r="I110" s="11"/>
    </row>
    <row r="111" spans="1:26" ht="15" customHeight="1" x14ac:dyDescent="0.25">
      <c r="C111" s="97" t="s">
        <v>197</v>
      </c>
      <c r="D111" s="97"/>
      <c r="E111" s="97"/>
      <c r="F111" s="97"/>
      <c r="G111" s="97"/>
      <c r="H111" s="97"/>
      <c r="I111" s="11"/>
    </row>
    <row r="112" spans="1:26" x14ac:dyDescent="0.25">
      <c r="C112" s="92" t="s">
        <v>198</v>
      </c>
      <c r="D112" s="93"/>
      <c r="E112" s="93"/>
      <c r="F112" s="93"/>
      <c r="G112" s="93"/>
      <c r="H112" s="94"/>
      <c r="I112" s="11"/>
    </row>
    <row r="113" spans="3:9" x14ac:dyDescent="0.25">
      <c r="C113" s="92" t="s">
        <v>199</v>
      </c>
      <c r="D113" s="93"/>
      <c r="E113" s="93"/>
      <c r="F113" s="93"/>
      <c r="G113" s="93"/>
      <c r="H113" s="94"/>
      <c r="I113" s="11"/>
    </row>
    <row r="114" spans="3:9" x14ac:dyDescent="0.25">
      <c r="C114" s="92" t="s">
        <v>200</v>
      </c>
      <c r="D114" s="93"/>
      <c r="E114" s="93"/>
      <c r="F114" s="93"/>
      <c r="G114" s="93"/>
      <c r="H114" s="94"/>
      <c r="I114" s="11"/>
    </row>
    <row r="115" spans="3:9" ht="15" customHeight="1" x14ac:dyDescent="0.25">
      <c r="C115" s="96" t="s">
        <v>201</v>
      </c>
      <c r="D115" s="96"/>
      <c r="E115" s="96"/>
      <c r="F115" s="96"/>
      <c r="G115" s="96"/>
      <c r="H115" s="96"/>
      <c r="I115" s="11"/>
    </row>
    <row r="116" spans="3:9" x14ac:dyDescent="0.25">
      <c r="C116" s="92" t="s">
        <v>202</v>
      </c>
      <c r="D116" s="93"/>
      <c r="E116" s="93"/>
      <c r="F116" s="93"/>
      <c r="G116" s="93"/>
      <c r="H116" s="94"/>
      <c r="I116" s="11"/>
    </row>
  </sheetData>
  <mergeCells count="10">
    <mergeCell ref="C116:H116"/>
    <mergeCell ref="C106:H106"/>
    <mergeCell ref="C107:H107"/>
    <mergeCell ref="C108:H108"/>
    <mergeCell ref="C109:H109"/>
    <mergeCell ref="C111:H111"/>
    <mergeCell ref="C112:H112"/>
    <mergeCell ref="C113:H113"/>
    <mergeCell ref="C114:H114"/>
    <mergeCell ref="C115:H11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86C1-A119-4F25-8C98-D10904644886}">
  <sheetPr filterMode="1"/>
  <dimension ref="A1:AD217"/>
  <sheetViews>
    <sheetView tabSelected="1" topLeftCell="A93" workbookViewId="0">
      <selection activeCell="K109" sqref="K109"/>
    </sheetView>
  </sheetViews>
  <sheetFormatPr defaultRowHeight="15" x14ac:dyDescent="0.25"/>
  <cols>
    <col min="1" max="1" width="14.28515625" customWidth="1"/>
    <col min="2" max="2" width="28.28515625" bestFit="1" customWidth="1"/>
    <col min="3" max="3" width="7.140625" customWidth="1"/>
    <col min="4" max="4" width="12.7109375" customWidth="1"/>
    <col min="5" max="5" width="12.28515625" customWidth="1"/>
    <col min="6" max="6" width="21.28515625" bestFit="1" customWidth="1"/>
    <col min="8" max="8" width="18" customWidth="1"/>
    <col min="9" max="9" width="18" style="10" customWidth="1"/>
    <col min="10" max="10" width="13.85546875" customWidth="1"/>
    <col min="11" max="11" width="14.140625" customWidth="1"/>
    <col min="12" max="12" width="14.140625" style="10" customWidth="1"/>
    <col min="13" max="13" width="14.28515625" bestFit="1" customWidth="1"/>
    <col min="14" max="14" width="8.5703125" style="10" customWidth="1"/>
    <col min="15" max="15" width="9.28515625" customWidth="1"/>
    <col min="16" max="16" width="20.5703125" customWidth="1"/>
    <col min="17" max="17" width="20.5703125" style="10" customWidth="1"/>
    <col min="18" max="18" width="15.7109375" customWidth="1"/>
    <col min="19" max="19" width="14.85546875" customWidth="1"/>
    <col min="20" max="20" width="16.5703125" customWidth="1"/>
    <col min="21" max="21" width="21" customWidth="1"/>
    <col min="22" max="22" width="21" style="10" customWidth="1"/>
    <col min="23" max="23" width="13.85546875" bestFit="1" customWidth="1"/>
    <col min="24" max="24" width="14.28515625" style="10" customWidth="1"/>
    <col min="25" max="25" width="17.5703125" bestFit="1" customWidth="1"/>
    <col min="26" max="26" width="21.28515625" style="30" customWidth="1"/>
    <col min="27" max="27" width="21.140625" style="10" customWidth="1"/>
    <col min="28" max="28" width="33" style="10" customWidth="1"/>
  </cols>
  <sheetData>
    <row r="1" spans="1:30" s="19" customFormat="1" ht="33.75" customHeight="1" x14ac:dyDescent="0.25">
      <c r="A1" s="36" t="s">
        <v>0</v>
      </c>
      <c r="B1" s="47" t="s">
        <v>204</v>
      </c>
      <c r="C1" s="33" t="s">
        <v>1</v>
      </c>
      <c r="D1" s="33" t="s">
        <v>2</v>
      </c>
      <c r="E1" s="33" t="s">
        <v>3</v>
      </c>
      <c r="F1" s="49" t="s">
        <v>205</v>
      </c>
      <c r="G1" s="33" t="s">
        <v>4</v>
      </c>
      <c r="H1" s="33" t="s">
        <v>5</v>
      </c>
      <c r="I1" s="56" t="s">
        <v>210</v>
      </c>
      <c r="J1" s="37" t="s">
        <v>6</v>
      </c>
      <c r="K1" s="38" t="s">
        <v>7</v>
      </c>
      <c r="L1" s="51" t="s">
        <v>206</v>
      </c>
      <c r="M1" s="39" t="s">
        <v>8</v>
      </c>
      <c r="N1" s="80" t="s">
        <v>9</v>
      </c>
      <c r="O1" s="33" t="s">
        <v>10</v>
      </c>
      <c r="P1" s="40" t="s">
        <v>11</v>
      </c>
      <c r="Q1" s="61" t="s">
        <v>208</v>
      </c>
      <c r="R1" s="33" t="s">
        <v>12</v>
      </c>
      <c r="S1" s="33" t="s">
        <v>13</v>
      </c>
      <c r="T1" s="40" t="s">
        <v>14</v>
      </c>
      <c r="U1" s="40" t="s">
        <v>15</v>
      </c>
      <c r="V1" s="61" t="s">
        <v>207</v>
      </c>
      <c r="W1" s="33" t="s">
        <v>16</v>
      </c>
      <c r="X1" s="49" t="s">
        <v>17</v>
      </c>
      <c r="Y1" s="49" t="s">
        <v>18</v>
      </c>
      <c r="Z1" s="54" t="s">
        <v>19</v>
      </c>
      <c r="AA1" s="49" t="s">
        <v>20</v>
      </c>
      <c r="AB1" s="61" t="s">
        <v>21</v>
      </c>
    </row>
    <row r="2" spans="1:30" ht="17.25" x14ac:dyDescent="0.3">
      <c r="A2" s="41">
        <v>1</v>
      </c>
      <c r="B2" s="48" t="str">
        <f>LOWER(_xlfn.CONCAT(EmployeeTable3[[#This Row],[First Name]],".",EmployeeTable3[[#This Row],[Last Name]],"@company.com"))</f>
        <v>bob.clark@company.com</v>
      </c>
      <c r="C2" s="42" t="s">
        <v>23</v>
      </c>
      <c r="D2" s="42" t="s">
        <v>24</v>
      </c>
      <c r="E2" s="42" t="s">
        <v>25</v>
      </c>
      <c r="F2" s="50" t="str">
        <f>LEFT(EmployeeTable3[[#This Row],[First Name]],4)</f>
        <v>Bob</v>
      </c>
      <c r="G2" s="42"/>
      <c r="H2" s="42" t="s">
        <v>26</v>
      </c>
      <c r="I2" s="57" t="str">
        <f t="shared" ref="I2:I33" si="0">REPLACE(H2,1,3,"323")</f>
        <v>323-6998874</v>
      </c>
      <c r="J2" s="43" t="s">
        <v>27</v>
      </c>
      <c r="K2" s="44" t="s">
        <v>28</v>
      </c>
      <c r="L2" s="52" t="str">
        <f>TEXT(EmployeeTable3[[#This Row],[Joining Date]],"MM-DD-YYYY")</f>
        <v>06-19-2021</v>
      </c>
      <c r="M2" s="45">
        <v>41134</v>
      </c>
      <c r="N2" s="81" t="s">
        <v>29</v>
      </c>
      <c r="O2" s="42" t="s">
        <v>30</v>
      </c>
      <c r="P2" s="42">
        <v>4.7</v>
      </c>
      <c r="Q2" s="53" t="str">
        <f>IF(EmployeeTable3[[#This Row],[Performance Rating]]&gt;=_xlfn.PERCENTILE.INC(EmployeeTable3[Performance Rating],0.9),"Top 10%","Not Top 10%")</f>
        <v>Not Top 10%</v>
      </c>
      <c r="R2" s="46">
        <v>2161</v>
      </c>
      <c r="S2" s="46">
        <v>72003</v>
      </c>
      <c r="T2" s="42">
        <v>7.52</v>
      </c>
      <c r="U2" s="42">
        <v>45</v>
      </c>
      <c r="V2" s="62">
        <f>NPV(0.05,EmployeeTable3[[#This Row],[Monthly Sales]])</f>
        <v>2058.0952380952381</v>
      </c>
      <c r="W2" s="42" t="s">
        <v>31</v>
      </c>
      <c r="X2" s="53" t="str">
        <f t="shared" ref="X2:X65" si="1">SUBSTITUTE(SUBSTITUTE(SUBSTITUTE(SUBSTITUTE(O2,"North","N"),"East","E"),"South","S"),"West","W")</f>
        <v>S</v>
      </c>
      <c r="Y2" s="50" t="str">
        <f>_xlfn.CONCAT(EmployeeTable3[[#This Row],[Region Code]],EmployeeTable3[[#This Row],[Employee ID]],EmployeeTable3[[#This Row],[First Name]],EmployeeTable3[[#This Row],[Last Name]])</f>
        <v>S1BobClark</v>
      </c>
      <c r="Z2" s="55" t="str">
        <f>IF(AND(EmployeeTable3[[#This Row],[Performance Rating]]&gt;=4, EmployeeTable3[[#This Row],[Bonus]]&gt;=0.1),"Eligible","Not Eligible")</f>
        <v>Eligible</v>
      </c>
      <c r="AA2" s="53">
        <f t="shared" ref="AA2:AA33" ca="1" si="2">DATEDIF(K2,TODAY(),"Y")</f>
        <v>4</v>
      </c>
      <c r="AB2" s="62">
        <f>PMT((EmployeeTable3[[#This Row],[Interest Rate %]]/100)/12,EmployeeTable3[[#This Row],[Loan Term (Months)]],-EmployeeTable3[[#This Row],[Loan Amount]])</f>
        <v>1841.241047305286</v>
      </c>
      <c r="AD2" s="60"/>
    </row>
    <row r="3" spans="1:30" ht="17.25" x14ac:dyDescent="0.3">
      <c r="A3" s="41">
        <v>2</v>
      </c>
      <c r="B3" s="48" t="str">
        <f>LOWER(_xlfn.CONCAT(EmployeeTable3[[#This Row],[First Name]],".",EmployeeTable3[[#This Row],[Last Name]],"@company.com"))</f>
        <v>david.miller@company.com</v>
      </c>
      <c r="C3" s="42" t="s">
        <v>23</v>
      </c>
      <c r="D3" s="42" t="s">
        <v>32</v>
      </c>
      <c r="E3" s="42" t="s">
        <v>33</v>
      </c>
      <c r="F3" s="50" t="str">
        <f>LEFT(EmployeeTable3[[#This Row],[First Name]],4)</f>
        <v>Davi</v>
      </c>
      <c r="G3" s="42"/>
      <c r="H3" s="42" t="s">
        <v>34</v>
      </c>
      <c r="I3" s="57" t="str">
        <f t="shared" si="0"/>
        <v>323-9665568</v>
      </c>
      <c r="J3" s="43" t="s">
        <v>35</v>
      </c>
      <c r="K3" s="44" t="s">
        <v>36</v>
      </c>
      <c r="L3" s="52" t="str">
        <f>TEXT(EmployeeTable3[[#This Row],[Joining Date]],"MM-DD-YYYY")</f>
        <v>07-29-2020</v>
      </c>
      <c r="M3" s="45">
        <v>117371</v>
      </c>
      <c r="N3" s="81" t="s">
        <v>37</v>
      </c>
      <c r="O3" s="42" t="s">
        <v>38</v>
      </c>
      <c r="P3" s="42">
        <v>3</v>
      </c>
      <c r="Q3" s="53" t="str">
        <f>IF(EmployeeTable3[[#This Row],[Performance Rating]]&gt;=_xlfn.PERCENTILE.INC(EmployeeTable3[Performance Rating],0.9),"Top 10%","Not Top 10%")</f>
        <v>Not Top 10%</v>
      </c>
      <c r="R3" s="46">
        <v>2189</v>
      </c>
      <c r="S3" s="46">
        <v>52557</v>
      </c>
      <c r="T3" s="42">
        <v>8.93</v>
      </c>
      <c r="U3" s="42">
        <v>17</v>
      </c>
      <c r="V3" s="62">
        <f>NPV(0.05,EmployeeTable3[[#This Row],[Monthly Sales]])</f>
        <v>2084.7619047619046</v>
      </c>
      <c r="W3" s="42" t="s">
        <v>39</v>
      </c>
      <c r="X3" s="53" t="str">
        <f t="shared" si="1"/>
        <v>W</v>
      </c>
      <c r="Y3" s="50" t="str">
        <f>_xlfn.CONCAT(EmployeeTable3[[#This Row],[Region Code]],EmployeeTable3[[#This Row],[Employee ID]],EmployeeTable3[[#This Row],[First Name]],EmployeeTable3[[#This Row],[Last Name]])</f>
        <v>W2DavidMiller</v>
      </c>
      <c r="Z3" s="55" t="str">
        <f>IF(AND(EmployeeTable3[[#This Row],[Performance Rating]]&gt;=4, EmployeeTable3[[#This Row],[Bonus]]&gt;=0.1),"Eligible","Not Eligible")</f>
        <v>Not Eligible</v>
      </c>
      <c r="AA3" s="53">
        <f t="shared" ca="1" si="2"/>
        <v>5</v>
      </c>
      <c r="AB3" s="62">
        <f>PMT((EmployeeTable3[[#This Row],[Interest Rate %]]/100)/12,EmployeeTable3[[#This Row],[Loan Term (Months)]],-EmployeeTable3[[#This Row],[Loan Amount]])</f>
        <v>3302.7400299864194</v>
      </c>
    </row>
    <row r="4" spans="1:30" ht="17.25" x14ac:dyDescent="0.3">
      <c r="A4" s="41">
        <v>3</v>
      </c>
      <c r="B4" s="48" t="str">
        <f>LOWER(_xlfn.CONCAT(EmployeeTable3[[#This Row],[First Name]],".",EmployeeTable3[[#This Row],[Last Name]],"@company.com"))</f>
        <v>bob.lee@company.com</v>
      </c>
      <c r="C4" s="42" t="s">
        <v>40</v>
      </c>
      <c r="D4" s="42" t="s">
        <v>24</v>
      </c>
      <c r="E4" s="42" t="s">
        <v>41</v>
      </c>
      <c r="F4" s="50" t="str">
        <f>LEFT(EmployeeTable3[[#This Row],[First Name]],4)</f>
        <v>Bob</v>
      </c>
      <c r="G4" s="42"/>
      <c r="H4" s="42" t="s">
        <v>42</v>
      </c>
      <c r="I4" s="57" t="str">
        <f t="shared" si="0"/>
        <v>323-5699987</v>
      </c>
      <c r="J4" s="43" t="s">
        <v>43</v>
      </c>
      <c r="K4" s="44" t="s">
        <v>44</v>
      </c>
      <c r="L4" s="52" t="str">
        <f>TEXT(EmployeeTable3[[#This Row],[Joining Date]],"MM-DD-YYYY")</f>
        <v>08-28-2020</v>
      </c>
      <c r="M4" s="45">
        <v>64075</v>
      </c>
      <c r="N4" s="81" t="s">
        <v>45</v>
      </c>
      <c r="O4" s="42" t="s">
        <v>38</v>
      </c>
      <c r="P4" s="42">
        <v>3.6</v>
      </c>
      <c r="Q4" s="53" t="str">
        <f>IF(EmployeeTable3[[#This Row],[Performance Rating]]&gt;=_xlfn.PERCENTILE.INC(EmployeeTable3[Performance Rating],0.9),"Top 10%","Not Top 10%")</f>
        <v>Not Top 10%</v>
      </c>
      <c r="R4" s="46">
        <v>2391</v>
      </c>
      <c r="S4" s="46">
        <v>47157</v>
      </c>
      <c r="T4" s="42">
        <v>5.61</v>
      </c>
      <c r="U4" s="42">
        <v>41</v>
      </c>
      <c r="V4" s="62">
        <f>NPV(0.05,EmployeeTable3[[#This Row],[Monthly Sales]])</f>
        <v>2277.1428571428569</v>
      </c>
      <c r="W4" s="42" t="s">
        <v>46</v>
      </c>
      <c r="X4" s="53" t="str">
        <f t="shared" si="1"/>
        <v>W</v>
      </c>
      <c r="Y4" s="50" t="str">
        <f>_xlfn.CONCAT(EmployeeTable3[[#This Row],[Region Code]],EmployeeTable3[[#This Row],[Employee ID]],EmployeeTable3[[#This Row],[First Name]],EmployeeTable3[[#This Row],[Last Name]])</f>
        <v>W3BobLee</v>
      </c>
      <c r="Z4" s="55" t="str">
        <f>IF(AND(EmployeeTable3[[#This Row],[Performance Rating]]&gt;=4, EmployeeTable3[[#This Row],[Bonus]]&gt;=0.1),"Eligible","Not Eligible")</f>
        <v>Not Eligible</v>
      </c>
      <c r="AA4" s="53">
        <f t="shared" ca="1" si="2"/>
        <v>5</v>
      </c>
      <c r="AB4" s="62">
        <f>PMT((EmployeeTable3[[#This Row],[Interest Rate %]]/100)/12,EmployeeTable3[[#This Row],[Loan Term (Months)]],-EmployeeTable3[[#This Row],[Loan Amount]])</f>
        <v>1266.5976812456415</v>
      </c>
    </row>
    <row r="5" spans="1:30" ht="17.25" x14ac:dyDescent="0.3">
      <c r="A5" s="41">
        <v>4</v>
      </c>
      <c r="B5" s="48" t="str">
        <f>LOWER(_xlfn.CONCAT(EmployeeTable3[[#This Row],[First Name]],".",EmployeeTable3[[#This Row],[Last Name]],"@company.com"))</f>
        <v>henry.green@company.com</v>
      </c>
      <c r="C5" s="42" t="s">
        <v>47</v>
      </c>
      <c r="D5" s="42" t="s">
        <v>48</v>
      </c>
      <c r="E5" s="42" t="s">
        <v>49</v>
      </c>
      <c r="F5" s="50" t="str">
        <f>LEFT(EmployeeTable3[[#This Row],[First Name]],4)</f>
        <v>Henr</v>
      </c>
      <c r="G5" s="42"/>
      <c r="H5" s="42" t="s">
        <v>50</v>
      </c>
      <c r="I5" s="57" t="str">
        <f t="shared" si="0"/>
        <v>323-6554412</v>
      </c>
      <c r="J5" s="43" t="s">
        <v>51</v>
      </c>
      <c r="K5" s="44" t="s">
        <v>52</v>
      </c>
      <c r="L5" s="52" t="str">
        <f>TEXT(EmployeeTable3[[#This Row],[Joining Date]],"MM-DD-YYYY")</f>
        <v>12-24-2020</v>
      </c>
      <c r="M5" s="45">
        <v>59660</v>
      </c>
      <c r="N5" s="81" t="s">
        <v>53</v>
      </c>
      <c r="O5" s="42" t="s">
        <v>54</v>
      </c>
      <c r="P5" s="42">
        <v>4.7</v>
      </c>
      <c r="Q5" s="53" t="str">
        <f>IF(EmployeeTable3[[#This Row],[Performance Rating]]&gt;=_xlfn.PERCENTILE.INC(EmployeeTable3[Performance Rating],0.9),"Top 10%","Not Top 10%")</f>
        <v>Not Top 10%</v>
      </c>
      <c r="R5" s="46">
        <v>2502</v>
      </c>
      <c r="S5" s="46">
        <v>12911</v>
      </c>
      <c r="T5" s="42">
        <v>3.57</v>
      </c>
      <c r="U5" s="42">
        <v>42</v>
      </c>
      <c r="V5" s="62">
        <f>NPV(0.05,EmployeeTable3[[#This Row],[Monthly Sales]])</f>
        <v>2382.8571428571427</v>
      </c>
      <c r="W5" s="42" t="s">
        <v>31</v>
      </c>
      <c r="X5" s="53" t="str">
        <f t="shared" si="1"/>
        <v>N</v>
      </c>
      <c r="Y5" s="50" t="str">
        <f>_xlfn.CONCAT(EmployeeTable3[[#This Row],[Region Code]],EmployeeTable3[[#This Row],[Employee ID]],EmployeeTable3[[#This Row],[First Name]],EmployeeTable3[[#This Row],[Last Name]])</f>
        <v>N4HenryGreen</v>
      </c>
      <c r="Z5" s="55" t="str">
        <f>IF(AND(EmployeeTable3[[#This Row],[Performance Rating]]&gt;=4, EmployeeTable3[[#This Row],[Bonus]]&gt;=0.1),"Eligible","Not Eligible")</f>
        <v>Eligible</v>
      </c>
      <c r="AA5" s="53">
        <f t="shared" ca="1" si="2"/>
        <v>5</v>
      </c>
      <c r="AB5" s="62">
        <f>PMT((EmployeeTable3[[#This Row],[Interest Rate %]]/100)/12,EmployeeTable3[[#This Row],[Loan Term (Months)]],-EmployeeTable3[[#This Row],[Loan Amount]])</f>
        <v>327.46616175420223</v>
      </c>
    </row>
    <row r="6" spans="1:30" ht="17.25" x14ac:dyDescent="0.3">
      <c r="A6" s="41">
        <v>5</v>
      </c>
      <c r="B6" s="48" t="str">
        <f>LOWER(_xlfn.CONCAT(EmployeeTable3[[#This Row],[First Name]],".",EmployeeTable3[[#This Row],[Last Name]],"@company.com"))</f>
        <v>frank.brown@company.com</v>
      </c>
      <c r="C6" s="42" t="s">
        <v>55</v>
      </c>
      <c r="D6" s="42" t="s">
        <v>56</v>
      </c>
      <c r="E6" s="42" t="s">
        <v>57</v>
      </c>
      <c r="F6" s="50" t="str">
        <f>LEFT(EmployeeTable3[[#This Row],[First Name]],4)</f>
        <v>Fran</v>
      </c>
      <c r="G6" s="42"/>
      <c r="H6" s="42" t="s">
        <v>58</v>
      </c>
      <c r="I6" s="57" t="str">
        <f t="shared" si="0"/>
        <v>323-8552214</v>
      </c>
      <c r="J6" s="43" t="s">
        <v>59</v>
      </c>
      <c r="K6" s="44" t="s">
        <v>60</v>
      </c>
      <c r="L6" s="52" t="str">
        <f>TEXT(EmployeeTable3[[#This Row],[Joining Date]],"MM-DD-YYYY")</f>
        <v>03-18-2016</v>
      </c>
      <c r="M6" s="45">
        <v>102025</v>
      </c>
      <c r="N6" s="81" t="s">
        <v>61</v>
      </c>
      <c r="O6" s="42" t="s">
        <v>62</v>
      </c>
      <c r="P6" s="42">
        <v>3.4</v>
      </c>
      <c r="Q6" s="53" t="str">
        <f>IF(EmployeeTable3[[#This Row],[Performance Rating]]&gt;=_xlfn.PERCENTILE.INC(EmployeeTable3[Performance Rating],0.9),"Top 10%","Not Top 10%")</f>
        <v>Not Top 10%</v>
      </c>
      <c r="R6" s="46">
        <v>2769</v>
      </c>
      <c r="S6" s="46">
        <v>77214</v>
      </c>
      <c r="T6" s="42">
        <v>6.62</v>
      </c>
      <c r="U6" s="42">
        <v>45</v>
      </c>
      <c r="V6" s="62">
        <f>NPV(0.05,EmployeeTable3[[#This Row],[Monthly Sales]])</f>
        <v>2637.1428571428569</v>
      </c>
      <c r="W6" s="42" t="s">
        <v>63</v>
      </c>
      <c r="X6" s="53" t="str">
        <f t="shared" si="1"/>
        <v>E</v>
      </c>
      <c r="Y6" s="50" t="str">
        <f>_xlfn.CONCAT(EmployeeTable3[[#This Row],[Region Code]],EmployeeTable3[[#This Row],[Employee ID]],EmployeeTable3[[#This Row],[First Name]],EmployeeTable3[[#This Row],[Last Name]])</f>
        <v>E5FrankBrown</v>
      </c>
      <c r="Z6" s="55" t="str">
        <f>IF(AND(EmployeeTable3[[#This Row],[Performance Rating]]&gt;=4, EmployeeTable3[[#This Row],[Bonus]]&gt;=0.1),"Eligible","Not Eligible")</f>
        <v>Not Eligible</v>
      </c>
      <c r="AA6" s="53">
        <f t="shared" ca="1" si="2"/>
        <v>10</v>
      </c>
      <c r="AB6" s="62">
        <f>PMT((EmployeeTable3[[#This Row],[Interest Rate %]]/100)/12,EmployeeTable3[[#This Row],[Loan Term (Months)]],-EmployeeTable3[[#This Row],[Loan Amount]])</f>
        <v>1942.356155862964</v>
      </c>
    </row>
    <row r="7" spans="1:30" ht="17.25" x14ac:dyDescent="0.3">
      <c r="A7" s="41">
        <v>6</v>
      </c>
      <c r="B7" s="48" t="str">
        <f>LOWER(_xlfn.CONCAT(EmployeeTable3[[#This Row],[First Name]],".",EmployeeTable3[[#This Row],[Last Name]],"@company.com"))</f>
        <v>grace.brown@company.com</v>
      </c>
      <c r="C7" s="42" t="s">
        <v>40</v>
      </c>
      <c r="D7" s="42" t="s">
        <v>64</v>
      </c>
      <c r="E7" s="42" t="s">
        <v>57</v>
      </c>
      <c r="F7" s="50" t="str">
        <f>LEFT(EmployeeTable3[[#This Row],[First Name]],4)</f>
        <v>Grac</v>
      </c>
      <c r="G7" s="42"/>
      <c r="H7" s="42" t="s">
        <v>50</v>
      </c>
      <c r="I7" s="57" t="str">
        <f t="shared" si="0"/>
        <v>323-6554412</v>
      </c>
      <c r="J7" s="43" t="s">
        <v>51</v>
      </c>
      <c r="K7" s="44" t="s">
        <v>65</v>
      </c>
      <c r="L7" s="52" t="str">
        <f>TEXT(EmployeeTable3[[#This Row],[Joining Date]],"MM-DD-YYYY")</f>
        <v>09-23-2015</v>
      </c>
      <c r="M7" s="45">
        <v>118188</v>
      </c>
      <c r="N7" s="81" t="s">
        <v>53</v>
      </c>
      <c r="O7" s="42" t="s">
        <v>54</v>
      </c>
      <c r="P7" s="42">
        <v>3.5</v>
      </c>
      <c r="Q7" s="53" t="str">
        <f>IF(EmployeeTable3[[#This Row],[Performance Rating]]&gt;=_xlfn.PERCENTILE.INC(EmployeeTable3[Performance Rating],0.9),"Top 10%","Not Top 10%")</f>
        <v>Not Top 10%</v>
      </c>
      <c r="R7" s="46">
        <v>2860</v>
      </c>
      <c r="S7" s="46">
        <v>10206</v>
      </c>
      <c r="T7" s="42">
        <v>9.58</v>
      </c>
      <c r="U7" s="42">
        <v>47</v>
      </c>
      <c r="V7" s="62">
        <f>NPV(0.05,EmployeeTable3[[#This Row],[Monthly Sales]])</f>
        <v>2723.8095238095239</v>
      </c>
      <c r="W7" s="42" t="s">
        <v>31</v>
      </c>
      <c r="X7" s="53" t="str">
        <f t="shared" si="1"/>
        <v>N</v>
      </c>
      <c r="Y7" s="50" t="str">
        <f>_xlfn.CONCAT(EmployeeTable3[[#This Row],[Region Code]],EmployeeTable3[[#This Row],[Employee ID]],EmployeeTable3[[#This Row],[First Name]],EmployeeTable3[[#This Row],[Last Name]])</f>
        <v>N6GraceBrown</v>
      </c>
      <c r="Z7" s="55" t="str">
        <f>IF(AND(EmployeeTable3[[#This Row],[Performance Rating]]&gt;=4, EmployeeTable3[[#This Row],[Bonus]]&gt;=0.1),"Eligible","Not Eligible")</f>
        <v>Not Eligible</v>
      </c>
      <c r="AA7" s="53">
        <f t="shared" ca="1" si="2"/>
        <v>10</v>
      </c>
      <c r="AB7" s="62">
        <f>PMT((EmployeeTable3[[#This Row],[Interest Rate %]]/100)/12,EmployeeTable3[[#This Row],[Loan Term (Months)]],-EmployeeTable3[[#This Row],[Loan Amount]])</f>
        <v>261.28517605893887</v>
      </c>
    </row>
    <row r="8" spans="1:30" ht="17.25" x14ac:dyDescent="0.3">
      <c r="A8" s="41">
        <v>7</v>
      </c>
      <c r="B8" s="48" t="str">
        <f>LOWER(_xlfn.CONCAT(EmployeeTable3[[#This Row],[First Name]],".",EmployeeTable3[[#This Row],[Last Name]],"@company.com"))</f>
        <v>carol.green@company.com</v>
      </c>
      <c r="C8" s="42" t="s">
        <v>47</v>
      </c>
      <c r="D8" s="42" t="s">
        <v>66</v>
      </c>
      <c r="E8" s="42" t="s">
        <v>49</v>
      </c>
      <c r="F8" s="50" t="str">
        <f>LEFT(EmployeeTable3[[#This Row],[First Name]],4)</f>
        <v>Caro</v>
      </c>
      <c r="G8" s="42"/>
      <c r="H8" s="42" t="s">
        <v>34</v>
      </c>
      <c r="I8" s="57" t="str">
        <f t="shared" si="0"/>
        <v>323-9665568</v>
      </c>
      <c r="J8" s="43" t="s">
        <v>35</v>
      </c>
      <c r="K8" s="44" t="s">
        <v>67</v>
      </c>
      <c r="L8" s="52" t="str">
        <f>TEXT(EmployeeTable3[[#This Row],[Joining Date]],"MM-DD-YYYY")</f>
        <v>02-21-2021</v>
      </c>
      <c r="M8" s="45">
        <v>52768</v>
      </c>
      <c r="N8" s="81" t="s">
        <v>68</v>
      </c>
      <c r="O8" s="42" t="s">
        <v>62</v>
      </c>
      <c r="P8" s="42">
        <v>4</v>
      </c>
      <c r="Q8" s="53" t="str">
        <f>IF(EmployeeTable3[[#This Row],[Performance Rating]]&gt;=_xlfn.PERCENTILE.INC(EmployeeTable3[Performance Rating],0.9),"Top 10%","Not Top 10%")</f>
        <v>Not Top 10%</v>
      </c>
      <c r="R8" s="46">
        <v>2995</v>
      </c>
      <c r="S8" s="46">
        <v>62733</v>
      </c>
      <c r="T8" s="42">
        <v>9.0500000000000007</v>
      </c>
      <c r="U8" s="42">
        <v>59</v>
      </c>
      <c r="V8" s="62">
        <f>NPV(0.05,EmployeeTable3[[#This Row],[Monthly Sales]])</f>
        <v>2852.3809523809523</v>
      </c>
      <c r="W8" s="42" t="s">
        <v>31</v>
      </c>
      <c r="X8" s="53" t="str">
        <f t="shared" si="1"/>
        <v>E</v>
      </c>
      <c r="Y8" s="50" t="str">
        <f>_xlfn.CONCAT(EmployeeTable3[[#This Row],[Region Code]],EmployeeTable3[[#This Row],[Employee ID]],EmployeeTable3[[#This Row],[First Name]],EmployeeTable3[[#This Row],[Last Name]])</f>
        <v>E7CarolGreen</v>
      </c>
      <c r="Z8" s="55" t="str">
        <f>IF(AND(EmployeeTable3[[#This Row],[Performance Rating]]&gt;=4, EmployeeTable3[[#This Row],[Bonus]]&gt;=0.1),"Eligible","Not Eligible")</f>
        <v>Eligible</v>
      </c>
      <c r="AA8" s="53">
        <f t="shared" ca="1" si="2"/>
        <v>5</v>
      </c>
      <c r="AB8" s="62">
        <f>PMT((EmployeeTable3[[#This Row],[Interest Rate %]]/100)/12,EmployeeTable3[[#This Row],[Loan Term (Months)]],-EmployeeTable3[[#This Row],[Loan Amount]])</f>
        <v>1321.2513826879299</v>
      </c>
    </row>
    <row r="9" spans="1:30" ht="17.25" x14ac:dyDescent="0.3">
      <c r="A9" s="41">
        <v>8</v>
      </c>
      <c r="B9" s="48" t="str">
        <f>LOWER(_xlfn.CONCAT(EmployeeTable3[[#This Row],[First Name]],".",EmployeeTable3[[#This Row],[Last Name]],"@company.com"))</f>
        <v>alice.smith@company.com</v>
      </c>
      <c r="C9" s="42" t="s">
        <v>69</v>
      </c>
      <c r="D9" s="42" t="s">
        <v>70</v>
      </c>
      <c r="E9" s="42" t="s">
        <v>71</v>
      </c>
      <c r="F9" s="50" t="str">
        <f>LEFT(EmployeeTable3[[#This Row],[First Name]],4)</f>
        <v>Alic</v>
      </c>
      <c r="G9" s="42"/>
      <c r="H9" s="42" t="s">
        <v>26</v>
      </c>
      <c r="I9" s="57" t="str">
        <f t="shared" si="0"/>
        <v>323-6998874</v>
      </c>
      <c r="J9" s="43" t="s">
        <v>27</v>
      </c>
      <c r="K9" s="44" t="s">
        <v>72</v>
      </c>
      <c r="L9" s="52" t="str">
        <f>TEXT(EmployeeTable3[[#This Row],[Joining Date]],"MM-DD-YYYY")</f>
        <v>02-22-2021</v>
      </c>
      <c r="M9" s="45">
        <v>77780</v>
      </c>
      <c r="N9" s="81" t="s">
        <v>37</v>
      </c>
      <c r="O9" s="42" t="s">
        <v>30</v>
      </c>
      <c r="P9" s="42">
        <v>3.5</v>
      </c>
      <c r="Q9" s="53" t="str">
        <f>IF(EmployeeTable3[[#This Row],[Performance Rating]]&gt;=_xlfn.PERCENTILE.INC(EmployeeTable3[Performance Rating],0.9),"Top 10%","Not Top 10%")</f>
        <v>Not Top 10%</v>
      </c>
      <c r="R9" s="46">
        <v>3016</v>
      </c>
      <c r="S9" s="46">
        <v>33664</v>
      </c>
      <c r="T9" s="42">
        <v>7</v>
      </c>
      <c r="U9" s="42">
        <v>56</v>
      </c>
      <c r="V9" s="62">
        <f>NPV(0.05,EmployeeTable3[[#This Row],[Monthly Sales]])</f>
        <v>2872.3809523809523</v>
      </c>
      <c r="W9" s="42" t="s">
        <v>63</v>
      </c>
      <c r="X9" s="53" t="str">
        <f t="shared" si="1"/>
        <v>S</v>
      </c>
      <c r="Y9" s="50" t="str">
        <f>_xlfn.CONCAT(EmployeeTable3[[#This Row],[Region Code]],EmployeeTable3[[#This Row],[Employee ID]],EmployeeTable3[[#This Row],[First Name]],EmployeeTable3[[#This Row],[Last Name]])</f>
        <v>S8AliceSmith</v>
      </c>
      <c r="Z9" s="55" t="str">
        <f>IF(AND(EmployeeTable3[[#This Row],[Performance Rating]]&gt;=4, EmployeeTable3[[#This Row],[Bonus]]&gt;=0.1),"Eligible","Not Eligible")</f>
        <v>Not Eligible</v>
      </c>
      <c r="AA9" s="53">
        <f t="shared" ca="1" si="2"/>
        <v>5</v>
      </c>
      <c r="AB9" s="62">
        <f>PMT((EmployeeTable3[[#This Row],[Interest Rate %]]/100)/12,EmployeeTable3[[#This Row],[Loan Term (Months)]],-EmployeeTable3[[#This Row],[Loan Amount]])</f>
        <v>706.40194358892961</v>
      </c>
    </row>
    <row r="10" spans="1:30" ht="17.25" x14ac:dyDescent="0.3">
      <c r="A10" s="41">
        <v>9</v>
      </c>
      <c r="B10" s="48" t="str">
        <f>LOWER(_xlfn.CONCAT(EmployeeTable3[[#This Row],[First Name]],".",EmployeeTable3[[#This Row],[Last Name]],"@company.com"))</f>
        <v>bob.johnson@company.com</v>
      </c>
      <c r="C10" s="42" t="s">
        <v>23</v>
      </c>
      <c r="D10" s="42" t="s">
        <v>24</v>
      </c>
      <c r="E10" s="42" t="s">
        <v>73</v>
      </c>
      <c r="F10" s="50" t="str">
        <f>LEFT(EmployeeTable3[[#This Row],[First Name]],4)</f>
        <v>Bob</v>
      </c>
      <c r="G10" s="42"/>
      <c r="H10" s="42" t="s">
        <v>50</v>
      </c>
      <c r="I10" s="57" t="str">
        <f t="shared" si="0"/>
        <v>323-6554412</v>
      </c>
      <c r="J10" s="43" t="s">
        <v>51</v>
      </c>
      <c r="K10" s="44" t="s">
        <v>74</v>
      </c>
      <c r="L10" s="52" t="str">
        <f>TEXT(EmployeeTable3[[#This Row],[Joining Date]],"MM-DD-YYYY")</f>
        <v>10-29-2017</v>
      </c>
      <c r="M10" s="45">
        <v>53309</v>
      </c>
      <c r="N10" s="81" t="s">
        <v>45</v>
      </c>
      <c r="O10" s="42" t="s">
        <v>30</v>
      </c>
      <c r="P10" s="42">
        <v>4</v>
      </c>
      <c r="Q10" s="53" t="str">
        <f>IF(EmployeeTable3[[#This Row],[Performance Rating]]&gt;=_xlfn.PERCENTILE.INC(EmployeeTable3[Performance Rating],0.9),"Top 10%","Not Top 10%")</f>
        <v>Not Top 10%</v>
      </c>
      <c r="R10" s="46">
        <v>3021</v>
      </c>
      <c r="S10" s="46">
        <v>76199</v>
      </c>
      <c r="T10" s="42">
        <v>6.56</v>
      </c>
      <c r="U10" s="42">
        <v>37</v>
      </c>
      <c r="V10" s="62">
        <f>NPV(0.05,EmployeeTable3[[#This Row],[Monthly Sales]])</f>
        <v>2877.1428571428569</v>
      </c>
      <c r="W10" s="42" t="s">
        <v>75</v>
      </c>
      <c r="X10" s="53" t="str">
        <f t="shared" si="1"/>
        <v>S</v>
      </c>
      <c r="Y10" s="50" t="str">
        <f>_xlfn.CONCAT(EmployeeTable3[[#This Row],[Region Code]],EmployeeTable3[[#This Row],[Employee ID]],EmployeeTable3[[#This Row],[First Name]],EmployeeTable3[[#This Row],[Last Name]])</f>
        <v>S9BobJohnson</v>
      </c>
      <c r="Z10" s="55" t="str">
        <f>IF(AND(EmployeeTable3[[#This Row],[Performance Rating]]&gt;=4, EmployeeTable3[[#This Row],[Bonus]]&gt;=0.1),"Eligible","Not Eligible")</f>
        <v>Eligible</v>
      </c>
      <c r="AA10" s="53">
        <f t="shared" ca="1" si="2"/>
        <v>8</v>
      </c>
      <c r="AB10" s="62">
        <f>PMT((EmployeeTable3[[#This Row],[Interest Rate %]]/100)/12,EmployeeTable3[[#This Row],[Loan Term (Months)]],-EmployeeTable3[[#This Row],[Loan Amount]])</f>
        <v>2280.3310919971336</v>
      </c>
    </row>
    <row r="11" spans="1:30" ht="17.25" x14ac:dyDescent="0.3">
      <c r="A11" s="41">
        <v>10</v>
      </c>
      <c r="B11" s="48" t="str">
        <f>LOWER(_xlfn.CONCAT(EmployeeTable3[[#This Row],[First Name]],".",EmployeeTable3[[#This Row],[Last Name]],"@company.com"))</f>
        <v>alice.davis@company.com</v>
      </c>
      <c r="C11" s="42" t="s">
        <v>55</v>
      </c>
      <c r="D11" s="42" t="s">
        <v>70</v>
      </c>
      <c r="E11" s="42" t="s">
        <v>76</v>
      </c>
      <c r="F11" s="50" t="str">
        <f>LEFT(EmployeeTable3[[#This Row],[First Name]],4)</f>
        <v>Alic</v>
      </c>
      <c r="G11" s="42"/>
      <c r="H11" s="42" t="s">
        <v>50</v>
      </c>
      <c r="I11" s="57" t="str">
        <f t="shared" si="0"/>
        <v>323-6554412</v>
      </c>
      <c r="J11" s="43" t="s">
        <v>51</v>
      </c>
      <c r="K11" s="44" t="s">
        <v>77</v>
      </c>
      <c r="L11" s="52" t="str">
        <f>TEXT(EmployeeTable3[[#This Row],[Joining Date]],"MM-DD-YYYY")</f>
        <v>10-30-2017</v>
      </c>
      <c r="M11" s="45">
        <v>118371</v>
      </c>
      <c r="N11" s="81" t="s">
        <v>53</v>
      </c>
      <c r="O11" s="42" t="s">
        <v>54</v>
      </c>
      <c r="P11" s="42">
        <v>4.5</v>
      </c>
      <c r="Q11" s="53" t="str">
        <f>IF(EmployeeTable3[[#This Row],[Performance Rating]]&gt;=_xlfn.PERCENTILE.INC(EmployeeTable3[Performance Rating],0.9),"Top 10%","Not Top 10%")</f>
        <v>Not Top 10%</v>
      </c>
      <c r="R11" s="46">
        <v>3267</v>
      </c>
      <c r="S11" s="46">
        <v>79163</v>
      </c>
      <c r="T11" s="42">
        <v>9.2100000000000009</v>
      </c>
      <c r="U11" s="42">
        <v>48</v>
      </c>
      <c r="V11" s="62">
        <f>NPV(0.05,EmployeeTable3[[#This Row],[Monthly Sales]])</f>
        <v>3111.4285714285711</v>
      </c>
      <c r="W11" s="42" t="s">
        <v>46</v>
      </c>
      <c r="X11" s="53" t="str">
        <f t="shared" si="1"/>
        <v>N</v>
      </c>
      <c r="Y11" s="50" t="str">
        <f>_xlfn.CONCAT(EmployeeTable3[[#This Row],[Region Code]],EmployeeTable3[[#This Row],[Employee ID]],EmployeeTable3[[#This Row],[First Name]],EmployeeTable3[[#This Row],[Last Name]])</f>
        <v>N10AliceDavis</v>
      </c>
      <c r="Z11" s="55" t="str">
        <f>IF(AND(EmployeeTable3[[#This Row],[Performance Rating]]&gt;=4, EmployeeTable3[[#This Row],[Bonus]]&gt;=0.1),"Eligible","Not Eligible")</f>
        <v>Eligible</v>
      </c>
      <c r="AA11" s="53">
        <f t="shared" ca="1" si="2"/>
        <v>8</v>
      </c>
      <c r="AB11" s="62">
        <f>PMT((EmployeeTable3[[#This Row],[Interest Rate %]]/100)/12,EmployeeTable3[[#This Row],[Loan Term (Months)]],-EmployeeTable3[[#This Row],[Loan Amount]])</f>
        <v>1977.8778231270264</v>
      </c>
    </row>
    <row r="12" spans="1:30" ht="17.25" x14ac:dyDescent="0.3">
      <c r="A12" s="41">
        <v>11</v>
      </c>
      <c r="B12" s="48" t="str">
        <f>LOWER(_xlfn.CONCAT(EmployeeTable3[[#This Row],[First Name]],".",EmployeeTable3[[#This Row],[Last Name]],"@company.com"))</f>
        <v>eva.smith@company.com</v>
      </c>
      <c r="C12" s="42" t="s">
        <v>23</v>
      </c>
      <c r="D12" s="42" t="s">
        <v>78</v>
      </c>
      <c r="E12" s="42" t="s">
        <v>71</v>
      </c>
      <c r="F12" s="50" t="str">
        <f>LEFT(EmployeeTable3[[#This Row],[First Name]],4)</f>
        <v>Eva</v>
      </c>
      <c r="G12" s="42"/>
      <c r="H12" s="42" t="s">
        <v>79</v>
      </c>
      <c r="I12" s="57" t="str">
        <f t="shared" si="0"/>
        <v>323-5558898</v>
      </c>
      <c r="J12" s="43" t="s">
        <v>80</v>
      </c>
      <c r="K12" s="44" t="s">
        <v>81</v>
      </c>
      <c r="L12" s="52" t="str">
        <f>TEXT(EmployeeTable3[[#This Row],[Joining Date]],"MM-DD-YYYY")</f>
        <v>12-17-2018</v>
      </c>
      <c r="M12" s="45">
        <v>68019</v>
      </c>
      <c r="N12" s="81" t="s">
        <v>82</v>
      </c>
      <c r="O12" s="42" t="s">
        <v>54</v>
      </c>
      <c r="P12" s="42">
        <v>4.9000000000000004</v>
      </c>
      <c r="Q12" s="53" t="str">
        <f>IF(EmployeeTable3[[#This Row],[Performance Rating]]&gt;=_xlfn.PERCENTILE.INC(EmployeeTable3[Performance Rating],0.9),"Top 10%","Not Top 10%")</f>
        <v>Top 10%</v>
      </c>
      <c r="R12" s="46">
        <v>3585</v>
      </c>
      <c r="S12" s="46">
        <v>13748</v>
      </c>
      <c r="T12" s="42">
        <v>5.16</v>
      </c>
      <c r="U12" s="42">
        <v>30</v>
      </c>
      <c r="V12" s="62">
        <f>NPV(0.05,EmployeeTable3[[#This Row],[Monthly Sales]])</f>
        <v>3414.2857142857142</v>
      </c>
      <c r="W12" s="42" t="s">
        <v>75</v>
      </c>
      <c r="X12" s="53" t="str">
        <f t="shared" si="1"/>
        <v>N</v>
      </c>
      <c r="Y12" s="50" t="str">
        <f>_xlfn.CONCAT(EmployeeTable3[[#This Row],[Region Code]],EmployeeTable3[[#This Row],[Employee ID]],EmployeeTable3[[#This Row],[First Name]],EmployeeTable3[[#This Row],[Last Name]])</f>
        <v>N11EvaSmith</v>
      </c>
      <c r="Z12" s="55" t="str">
        <f>IF(AND(EmployeeTable3[[#This Row],[Performance Rating]]&gt;=4, EmployeeTable3[[#This Row],[Bonus]]&gt;=0.1),"Eligible","Not Eligible")</f>
        <v>Eligible</v>
      </c>
      <c r="AA12" s="53">
        <f t="shared" ca="1" si="2"/>
        <v>7</v>
      </c>
      <c r="AB12" s="62">
        <f>PMT((EmployeeTable3[[#This Row],[Interest Rate %]]/100)/12,EmployeeTable3[[#This Row],[Loan Term (Months)]],-EmployeeTable3[[#This Row],[Loan Amount]])</f>
        <v>489.44339922183946</v>
      </c>
    </row>
    <row r="13" spans="1:30" ht="17.25" x14ac:dyDescent="0.3">
      <c r="A13" s="41">
        <v>12</v>
      </c>
      <c r="B13" s="48" t="str">
        <f>LOWER(_xlfn.CONCAT(EmployeeTable3[[#This Row],[First Name]],".",EmployeeTable3[[#This Row],[Last Name]],"@company.com"))</f>
        <v>alice.smith@company.com</v>
      </c>
      <c r="C13" s="42" t="s">
        <v>47</v>
      </c>
      <c r="D13" s="42" t="s">
        <v>70</v>
      </c>
      <c r="E13" s="42" t="s">
        <v>71</v>
      </c>
      <c r="F13" s="50" t="str">
        <f>LEFT(EmployeeTable3[[#This Row],[First Name]],4)</f>
        <v>Alic</v>
      </c>
      <c r="G13" s="42"/>
      <c r="H13" s="42" t="s">
        <v>83</v>
      </c>
      <c r="I13" s="57" t="str">
        <f t="shared" si="0"/>
        <v>323-5665569</v>
      </c>
      <c r="J13" s="43" t="s">
        <v>84</v>
      </c>
      <c r="K13" s="44" t="s">
        <v>85</v>
      </c>
      <c r="L13" s="52" t="str">
        <f>TEXT(EmployeeTable3[[#This Row],[Joining Date]],"MM-DD-YYYY")</f>
        <v>10-19-2018</v>
      </c>
      <c r="M13" s="45">
        <v>105865</v>
      </c>
      <c r="N13" s="81" t="s">
        <v>61</v>
      </c>
      <c r="O13" s="42" t="s">
        <v>38</v>
      </c>
      <c r="P13" s="42">
        <v>4.3</v>
      </c>
      <c r="Q13" s="53" t="str">
        <f>IF(EmployeeTable3[[#This Row],[Performance Rating]]&gt;=_xlfn.PERCENTILE.INC(EmployeeTable3[Performance Rating],0.9),"Top 10%","Not Top 10%")</f>
        <v>Not Top 10%</v>
      </c>
      <c r="R13" s="46">
        <v>3685</v>
      </c>
      <c r="S13" s="46">
        <v>66044</v>
      </c>
      <c r="T13" s="42">
        <v>9.8800000000000008</v>
      </c>
      <c r="U13" s="42">
        <v>39</v>
      </c>
      <c r="V13" s="62">
        <f>NPV(0.05,EmployeeTable3[[#This Row],[Monthly Sales]])</f>
        <v>3509.5238095238092</v>
      </c>
      <c r="W13" s="42" t="s">
        <v>46</v>
      </c>
      <c r="X13" s="53" t="str">
        <f t="shared" si="1"/>
        <v>W</v>
      </c>
      <c r="Y13" s="50" t="str">
        <f>_xlfn.CONCAT(EmployeeTable3[[#This Row],[Region Code]],EmployeeTable3[[#This Row],[Employee ID]],EmployeeTable3[[#This Row],[First Name]],EmployeeTable3[[#This Row],[Last Name]])</f>
        <v>W12AliceSmith</v>
      </c>
      <c r="Z13" s="55" t="str">
        <f>IF(AND(EmployeeTable3[[#This Row],[Performance Rating]]&gt;=4, EmployeeTable3[[#This Row],[Bonus]]&gt;=0.1),"Eligible","Not Eligible")</f>
        <v>Eligible</v>
      </c>
      <c r="AA13" s="53">
        <f t="shared" ca="1" si="2"/>
        <v>7</v>
      </c>
      <c r="AB13" s="62">
        <f>PMT((EmployeeTable3[[#This Row],[Interest Rate %]]/100)/12,EmployeeTable3[[#This Row],[Loan Term (Months)]],-EmployeeTable3[[#This Row],[Loan Amount]])</f>
        <v>1986.7447779266181</v>
      </c>
    </row>
    <row r="14" spans="1:30" ht="17.25" x14ac:dyDescent="0.3">
      <c r="A14" s="41">
        <v>13</v>
      </c>
      <c r="B14" s="48" t="str">
        <f>LOWER(_xlfn.CONCAT(EmployeeTable3[[#This Row],[First Name]],".",EmployeeTable3[[#This Row],[Last Name]],"@company.com"))</f>
        <v>eva.miller@company.com</v>
      </c>
      <c r="C14" s="42" t="s">
        <v>47</v>
      </c>
      <c r="D14" s="42" t="s">
        <v>78</v>
      </c>
      <c r="E14" s="42" t="s">
        <v>33</v>
      </c>
      <c r="F14" s="50" t="str">
        <f>LEFT(EmployeeTable3[[#This Row],[First Name]],4)</f>
        <v>Eva</v>
      </c>
      <c r="G14" s="42"/>
      <c r="H14" s="42" t="s">
        <v>26</v>
      </c>
      <c r="I14" s="57" t="str">
        <f t="shared" si="0"/>
        <v>323-6998874</v>
      </c>
      <c r="J14" s="43" t="s">
        <v>27</v>
      </c>
      <c r="K14" s="44" t="s">
        <v>86</v>
      </c>
      <c r="L14" s="52" t="str">
        <f>TEXT(EmployeeTable3[[#This Row],[Joining Date]],"MM-DD-YYYY")</f>
        <v>05-05-2017</v>
      </c>
      <c r="M14" s="45">
        <v>93097</v>
      </c>
      <c r="N14" s="81" t="s">
        <v>45</v>
      </c>
      <c r="O14" s="42" t="s">
        <v>62</v>
      </c>
      <c r="P14" s="42">
        <v>4.9000000000000004</v>
      </c>
      <c r="Q14" s="53" t="str">
        <f>IF(EmployeeTable3[[#This Row],[Performance Rating]]&gt;=_xlfn.PERCENTILE.INC(EmployeeTable3[Performance Rating],0.9),"Top 10%","Not Top 10%")</f>
        <v>Top 10%</v>
      </c>
      <c r="R14" s="46">
        <v>3899</v>
      </c>
      <c r="S14" s="46">
        <v>12693</v>
      </c>
      <c r="T14" s="42">
        <v>5.83</v>
      </c>
      <c r="U14" s="42">
        <v>54</v>
      </c>
      <c r="V14" s="62">
        <f>NPV(0.05,EmployeeTable3[[#This Row],[Monthly Sales]])</f>
        <v>3713.333333333333</v>
      </c>
      <c r="W14" s="42" t="s">
        <v>39</v>
      </c>
      <c r="X14" s="53" t="str">
        <f t="shared" si="1"/>
        <v>E</v>
      </c>
      <c r="Y14" s="50" t="str">
        <f>_xlfn.CONCAT(EmployeeTable3[[#This Row],[Region Code]],EmployeeTable3[[#This Row],[Employee ID]],EmployeeTable3[[#This Row],[First Name]],EmployeeTable3[[#This Row],[Last Name]])</f>
        <v>E13EvaMiller</v>
      </c>
      <c r="Z14" s="55" t="str">
        <f>IF(AND(EmployeeTable3[[#This Row],[Performance Rating]]&gt;=4, EmployeeTable3[[#This Row],[Bonus]]&gt;=0.1),"Eligible","Not Eligible")</f>
        <v>Eligible</v>
      </c>
      <c r="AA14" s="53">
        <f t="shared" ca="1" si="2"/>
        <v>9</v>
      </c>
      <c r="AB14" s="62">
        <f>PMT((EmployeeTable3[[#This Row],[Interest Rate %]]/100)/12,EmployeeTable3[[#This Row],[Loan Term (Months)]],-EmployeeTable3[[#This Row],[Loan Amount]])</f>
        <v>267.80288966523739</v>
      </c>
    </row>
    <row r="15" spans="1:30" ht="17.25" x14ac:dyDescent="0.3">
      <c r="A15" s="41">
        <v>14</v>
      </c>
      <c r="B15" s="48" t="str">
        <f>LOWER(_xlfn.CONCAT(EmployeeTable3[[#This Row],[First Name]],".",EmployeeTable3[[#This Row],[Last Name]],"@company.com"))</f>
        <v>isla.lee@company.com</v>
      </c>
      <c r="C15" s="42" t="s">
        <v>40</v>
      </c>
      <c r="D15" s="42" t="s">
        <v>87</v>
      </c>
      <c r="E15" s="42" t="s">
        <v>41</v>
      </c>
      <c r="F15" s="50" t="str">
        <f>LEFT(EmployeeTable3[[#This Row],[First Name]],4)</f>
        <v>Isla</v>
      </c>
      <c r="G15" s="42"/>
      <c r="H15" s="42" t="s">
        <v>42</v>
      </c>
      <c r="I15" s="57" t="str">
        <f t="shared" si="0"/>
        <v>323-5699987</v>
      </c>
      <c r="J15" s="43" t="s">
        <v>43</v>
      </c>
      <c r="K15" s="44" t="s">
        <v>88</v>
      </c>
      <c r="L15" s="52" t="str">
        <f>TEXT(EmployeeTable3[[#This Row],[Joining Date]],"MM-DD-YYYY")</f>
        <v>07-07-2022</v>
      </c>
      <c r="M15" s="45">
        <v>101604</v>
      </c>
      <c r="N15" s="81" t="s">
        <v>89</v>
      </c>
      <c r="O15" s="42" t="s">
        <v>54</v>
      </c>
      <c r="P15" s="42">
        <v>3.6</v>
      </c>
      <c r="Q15" s="53" t="str">
        <f>IF(EmployeeTable3[[#This Row],[Performance Rating]]&gt;=_xlfn.PERCENTILE.INC(EmployeeTable3[Performance Rating],0.9),"Top 10%","Not Top 10%")</f>
        <v>Not Top 10%</v>
      </c>
      <c r="R15" s="46">
        <v>4027</v>
      </c>
      <c r="S15" s="46">
        <v>73734</v>
      </c>
      <c r="T15" s="42">
        <v>3.53</v>
      </c>
      <c r="U15" s="42">
        <v>40</v>
      </c>
      <c r="V15" s="62">
        <f>NPV(0.05,EmployeeTable3[[#This Row],[Monthly Sales]])</f>
        <v>3835.238095238095</v>
      </c>
      <c r="W15" s="42" t="s">
        <v>31</v>
      </c>
      <c r="X15" s="53" t="str">
        <f t="shared" si="1"/>
        <v>N</v>
      </c>
      <c r="Y15" s="50" t="str">
        <f>_xlfn.CONCAT(EmployeeTable3[[#This Row],[Region Code]],EmployeeTable3[[#This Row],[Employee ID]],EmployeeTable3[[#This Row],[First Name]],EmployeeTable3[[#This Row],[Last Name]])</f>
        <v>N14IslaLee</v>
      </c>
      <c r="Z15" s="55" t="str">
        <f>IF(AND(EmployeeTable3[[#This Row],[Performance Rating]]&gt;=4, EmployeeTable3[[#This Row],[Bonus]]&gt;=0.1),"Eligible","Not Eligible")</f>
        <v>Not Eligible</v>
      </c>
      <c r="AA15" s="53">
        <f t="shared" ca="1" si="2"/>
        <v>3</v>
      </c>
      <c r="AB15" s="62">
        <f>PMT((EmployeeTable3[[#This Row],[Interest Rate %]]/100)/12,EmployeeTable3[[#This Row],[Loan Term (Months)]],-EmployeeTable3[[#This Row],[Loan Amount]])</f>
        <v>1956.6335810804762</v>
      </c>
    </row>
    <row r="16" spans="1:30" ht="17.25" x14ac:dyDescent="0.3">
      <c r="A16" s="41">
        <v>15</v>
      </c>
      <c r="B16" s="48" t="str">
        <f>LOWER(_xlfn.CONCAT(EmployeeTable3[[#This Row],[First Name]],".",EmployeeTable3[[#This Row],[Last Name]],"@company.com"))</f>
        <v>henry.miller@company.com</v>
      </c>
      <c r="C16" s="42" t="s">
        <v>40</v>
      </c>
      <c r="D16" s="42" t="s">
        <v>48</v>
      </c>
      <c r="E16" s="42" t="s">
        <v>33</v>
      </c>
      <c r="F16" s="50" t="str">
        <f>LEFT(EmployeeTable3[[#This Row],[First Name]],4)</f>
        <v>Henr</v>
      </c>
      <c r="G16" s="42"/>
      <c r="H16" s="42" t="s">
        <v>42</v>
      </c>
      <c r="I16" s="57" t="str">
        <f t="shared" si="0"/>
        <v>323-5699987</v>
      </c>
      <c r="J16" s="43" t="s">
        <v>43</v>
      </c>
      <c r="K16" s="44" t="s">
        <v>90</v>
      </c>
      <c r="L16" s="52" t="str">
        <f>TEXT(EmployeeTable3[[#This Row],[Joining Date]],"MM-DD-YYYY")</f>
        <v>05-28-2015</v>
      </c>
      <c r="M16" s="45">
        <v>106449</v>
      </c>
      <c r="N16" s="81" t="s">
        <v>91</v>
      </c>
      <c r="O16" s="42" t="s">
        <v>62</v>
      </c>
      <c r="P16" s="42">
        <v>4.5999999999999996</v>
      </c>
      <c r="Q16" s="53" t="str">
        <f>IF(EmployeeTable3[[#This Row],[Performance Rating]]&gt;=_xlfn.PERCENTILE.INC(EmployeeTable3[Performance Rating],0.9),"Top 10%","Not Top 10%")</f>
        <v>Not Top 10%</v>
      </c>
      <c r="R16" s="46">
        <v>4433</v>
      </c>
      <c r="S16" s="46">
        <v>43827</v>
      </c>
      <c r="T16" s="42">
        <v>4.83</v>
      </c>
      <c r="U16" s="42">
        <v>13</v>
      </c>
      <c r="V16" s="62">
        <f>NPV(0.05,EmployeeTable3[[#This Row],[Monthly Sales]])</f>
        <v>4221.9047619047615</v>
      </c>
      <c r="W16" s="42" t="s">
        <v>92</v>
      </c>
      <c r="X16" s="53" t="str">
        <f t="shared" si="1"/>
        <v>E</v>
      </c>
      <c r="Y16" s="50" t="str">
        <f>_xlfn.CONCAT(EmployeeTable3[[#This Row],[Region Code]],EmployeeTable3[[#This Row],[Employee ID]],EmployeeTable3[[#This Row],[First Name]],EmployeeTable3[[#This Row],[Last Name]])</f>
        <v>E15HenryMiller</v>
      </c>
      <c r="Z16" s="55" t="str">
        <f>IF(AND(EmployeeTable3[[#This Row],[Performance Rating]]&gt;=4, EmployeeTable3[[#This Row],[Bonus]]&gt;=0.1),"Eligible","Not Eligible")</f>
        <v>Eligible</v>
      </c>
      <c r="AA16" s="53">
        <f t="shared" ca="1" si="2"/>
        <v>10</v>
      </c>
      <c r="AB16" s="62">
        <f>PMT((EmployeeTable3[[#This Row],[Interest Rate %]]/100)/12,EmployeeTable3[[#This Row],[Loan Term (Months)]],-EmployeeTable3[[#This Row],[Loan Amount]])</f>
        <v>3467.0573590113822</v>
      </c>
    </row>
    <row r="17" spans="1:28" ht="17.25" x14ac:dyDescent="0.3">
      <c r="A17" s="41">
        <v>16</v>
      </c>
      <c r="B17" s="48" t="str">
        <f>LOWER(_xlfn.CONCAT(EmployeeTable3[[#This Row],[First Name]],".",EmployeeTable3[[#This Row],[Last Name]],"@company.com"))</f>
        <v>jack.green@company.com</v>
      </c>
      <c r="C17" s="42" t="s">
        <v>69</v>
      </c>
      <c r="D17" s="42" t="s">
        <v>93</v>
      </c>
      <c r="E17" s="42" t="s">
        <v>49</v>
      </c>
      <c r="F17" s="50" t="str">
        <f>LEFT(EmployeeTable3[[#This Row],[First Name]],4)</f>
        <v>Jack</v>
      </c>
      <c r="G17" s="42"/>
      <c r="H17" s="42" t="s">
        <v>83</v>
      </c>
      <c r="I17" s="57" t="str">
        <f t="shared" si="0"/>
        <v>323-5665569</v>
      </c>
      <c r="J17" s="43" t="s">
        <v>84</v>
      </c>
      <c r="K17" s="44" t="s">
        <v>94</v>
      </c>
      <c r="L17" s="52" t="str">
        <f>TEXT(EmployeeTable3[[#This Row],[Joining Date]],"MM-DD-YYYY")</f>
        <v>07-26-2015</v>
      </c>
      <c r="M17" s="45">
        <v>108441</v>
      </c>
      <c r="N17" s="81" t="s">
        <v>89</v>
      </c>
      <c r="O17" s="42" t="s">
        <v>38</v>
      </c>
      <c r="P17" s="42">
        <v>4.0999999999999996</v>
      </c>
      <c r="Q17" s="53" t="str">
        <f>IF(EmployeeTable3[[#This Row],[Performance Rating]]&gt;=_xlfn.PERCENTILE.INC(EmployeeTable3[Performance Rating],0.9),"Top 10%","Not Top 10%")</f>
        <v>Not Top 10%</v>
      </c>
      <c r="R17" s="46">
        <v>4454</v>
      </c>
      <c r="S17" s="46">
        <v>52107</v>
      </c>
      <c r="T17" s="42">
        <v>5.07</v>
      </c>
      <c r="U17" s="42">
        <v>50</v>
      </c>
      <c r="V17" s="62">
        <f>NPV(0.05,EmployeeTable3[[#This Row],[Monthly Sales]])</f>
        <v>4241.9047619047615</v>
      </c>
      <c r="W17" s="42" t="s">
        <v>31</v>
      </c>
      <c r="X17" s="53" t="str">
        <f t="shared" si="1"/>
        <v>W</v>
      </c>
      <c r="Y17" s="50" t="str">
        <f>_xlfn.CONCAT(EmployeeTable3[[#This Row],[Region Code]],EmployeeTable3[[#This Row],[Employee ID]],EmployeeTable3[[#This Row],[First Name]],EmployeeTable3[[#This Row],[Last Name]])</f>
        <v>W16JackGreen</v>
      </c>
      <c r="Z17" s="55" t="str">
        <f>IF(AND(EmployeeTable3[[#This Row],[Performance Rating]]&gt;=4, EmployeeTable3[[#This Row],[Bonus]]&gt;=0.1),"Eligible","Not Eligible")</f>
        <v>Eligible</v>
      </c>
      <c r="AA17" s="53">
        <f t="shared" ca="1" si="2"/>
        <v>10</v>
      </c>
      <c r="AB17" s="62">
        <f>PMT((EmployeeTable3[[#This Row],[Interest Rate %]]/100)/12,EmployeeTable3[[#This Row],[Loan Term (Months)]],-EmployeeTable3[[#This Row],[Loan Amount]])</f>
        <v>1158.2805795269355</v>
      </c>
    </row>
    <row r="18" spans="1:28" ht="17.25" x14ac:dyDescent="0.3">
      <c r="A18" s="41">
        <v>17</v>
      </c>
      <c r="B18" s="48" t="str">
        <f>LOWER(_xlfn.CONCAT(EmployeeTable3[[#This Row],[First Name]],".",EmployeeTable3[[#This Row],[Last Name]],"@company.com"))</f>
        <v>isla.miller@company.com</v>
      </c>
      <c r="C18" s="42" t="s">
        <v>40</v>
      </c>
      <c r="D18" s="42" t="s">
        <v>87</v>
      </c>
      <c r="E18" s="42" t="s">
        <v>33</v>
      </c>
      <c r="F18" s="50" t="str">
        <f>LEFT(EmployeeTable3[[#This Row],[First Name]],4)</f>
        <v>Isla</v>
      </c>
      <c r="G18" s="42"/>
      <c r="H18" s="42" t="s">
        <v>42</v>
      </c>
      <c r="I18" s="57" t="str">
        <f t="shared" si="0"/>
        <v>323-5699987</v>
      </c>
      <c r="J18" s="43" t="s">
        <v>43</v>
      </c>
      <c r="K18" s="44" t="s">
        <v>95</v>
      </c>
      <c r="L18" s="52" t="str">
        <f>TEXT(EmployeeTable3[[#This Row],[Joining Date]],"MM-DD-YYYY")</f>
        <v>08-21-2018</v>
      </c>
      <c r="M18" s="45">
        <v>51402</v>
      </c>
      <c r="N18" s="81" t="s">
        <v>45</v>
      </c>
      <c r="O18" s="42" t="s">
        <v>30</v>
      </c>
      <c r="P18" s="42">
        <v>4.9000000000000004</v>
      </c>
      <c r="Q18" s="53" t="str">
        <f>IF(EmployeeTable3[[#This Row],[Performance Rating]]&gt;=_xlfn.PERCENTILE.INC(EmployeeTable3[Performance Rating],0.9),"Top 10%","Not Top 10%")</f>
        <v>Top 10%</v>
      </c>
      <c r="R18" s="46">
        <v>4568</v>
      </c>
      <c r="S18" s="46">
        <v>97455</v>
      </c>
      <c r="T18" s="42">
        <v>9.86</v>
      </c>
      <c r="U18" s="42">
        <v>33</v>
      </c>
      <c r="V18" s="62">
        <f>NPV(0.05,EmployeeTable3[[#This Row],[Monthly Sales]])</f>
        <v>4350.4761904761899</v>
      </c>
      <c r="W18" s="42" t="s">
        <v>75</v>
      </c>
      <c r="X18" s="53" t="str">
        <f t="shared" si="1"/>
        <v>S</v>
      </c>
      <c r="Y18" s="50" t="str">
        <f>_xlfn.CONCAT(EmployeeTable3[[#This Row],[Region Code]],EmployeeTable3[[#This Row],[Employee ID]],EmployeeTable3[[#This Row],[First Name]],EmployeeTable3[[#This Row],[Last Name]])</f>
        <v>S17IslaMiller</v>
      </c>
      <c r="Z18" s="55" t="str">
        <f>IF(AND(EmployeeTable3[[#This Row],[Performance Rating]]&gt;=4, EmployeeTable3[[#This Row],[Bonus]]&gt;=0.1),"Eligible","Not Eligible")</f>
        <v>Eligible</v>
      </c>
      <c r="AA18" s="53">
        <f t="shared" ca="1" si="2"/>
        <v>7</v>
      </c>
      <c r="AB18" s="62">
        <f>PMT((EmployeeTable3[[#This Row],[Interest Rate %]]/100)/12,EmployeeTable3[[#This Row],[Loan Term (Months)]],-EmployeeTable3[[#This Row],[Loan Amount]])</f>
        <v>3383.673490249696</v>
      </c>
    </row>
    <row r="19" spans="1:28" ht="17.25" x14ac:dyDescent="0.3">
      <c r="A19" s="41">
        <v>18</v>
      </c>
      <c r="B19" s="48" t="str">
        <f>LOWER(_xlfn.CONCAT(EmployeeTable3[[#This Row],[First Name]],".",EmployeeTable3[[#This Row],[Last Name]],"@company.com"))</f>
        <v>eva.davis@company.com</v>
      </c>
      <c r="C19" s="42" t="s">
        <v>23</v>
      </c>
      <c r="D19" s="42" t="s">
        <v>78</v>
      </c>
      <c r="E19" s="42" t="s">
        <v>76</v>
      </c>
      <c r="F19" s="50" t="str">
        <f>LEFT(EmployeeTable3[[#This Row],[First Name]],4)</f>
        <v>Eva</v>
      </c>
      <c r="G19" s="42"/>
      <c r="H19" s="42" t="s">
        <v>79</v>
      </c>
      <c r="I19" s="57" t="str">
        <f t="shared" si="0"/>
        <v>323-5558898</v>
      </c>
      <c r="J19" s="43" t="s">
        <v>80</v>
      </c>
      <c r="K19" s="44" t="s">
        <v>96</v>
      </c>
      <c r="L19" s="52" t="str">
        <f>TEXT(EmployeeTable3[[#This Row],[Joining Date]],"MM-DD-YYYY")</f>
        <v>04-02-2020</v>
      </c>
      <c r="M19" s="45">
        <v>63201</v>
      </c>
      <c r="N19" s="81" t="s">
        <v>97</v>
      </c>
      <c r="O19" s="42" t="s">
        <v>38</v>
      </c>
      <c r="P19" s="42">
        <v>3.1</v>
      </c>
      <c r="Q19" s="53" t="str">
        <f>IF(EmployeeTable3[[#This Row],[Performance Rating]]&gt;=_xlfn.PERCENTILE.INC(EmployeeTable3[Performance Rating],0.9),"Top 10%","Not Top 10%")</f>
        <v>Not Top 10%</v>
      </c>
      <c r="R19" s="46">
        <v>4612</v>
      </c>
      <c r="S19" s="46">
        <v>71373</v>
      </c>
      <c r="T19" s="42">
        <v>4.2300000000000004</v>
      </c>
      <c r="U19" s="42">
        <v>51</v>
      </c>
      <c r="V19" s="62">
        <f>NPV(0.05,EmployeeTable3[[#This Row],[Monthly Sales]])</f>
        <v>4392.3809523809523</v>
      </c>
      <c r="W19" s="42" t="s">
        <v>98</v>
      </c>
      <c r="X19" s="53" t="str">
        <f t="shared" si="1"/>
        <v>W</v>
      </c>
      <c r="Y19" s="50" t="str">
        <f>_xlfn.CONCAT(EmployeeTable3[[#This Row],[Region Code]],EmployeeTable3[[#This Row],[Employee ID]],EmployeeTable3[[#This Row],[First Name]],EmployeeTable3[[#This Row],[Last Name]])</f>
        <v>W18EvaDavis</v>
      </c>
      <c r="Z19" s="55" t="str">
        <f>IF(AND(EmployeeTable3[[#This Row],[Performance Rating]]&gt;=4, EmployeeTable3[[#This Row],[Bonus]]&gt;=0.1),"Eligible","Not Eligible")</f>
        <v>Not Eligible</v>
      </c>
      <c r="AA19" s="53">
        <f t="shared" ca="1" si="2"/>
        <v>6</v>
      </c>
      <c r="AB19" s="62">
        <f>PMT((EmployeeTable3[[#This Row],[Interest Rate %]]/100)/12,EmployeeTable3[[#This Row],[Loan Term (Months)]],-EmployeeTable3[[#This Row],[Loan Amount]])</f>
        <v>1531.4911056247058</v>
      </c>
    </row>
    <row r="20" spans="1:28" ht="17.25" x14ac:dyDescent="0.3">
      <c r="A20" s="41">
        <v>19</v>
      </c>
      <c r="B20" s="48" t="str">
        <f>LOWER(_xlfn.CONCAT(EmployeeTable3[[#This Row],[First Name]],".",EmployeeTable3[[#This Row],[Last Name]],"@company.com"))</f>
        <v>carol.smith@company.com</v>
      </c>
      <c r="C20" s="42" t="s">
        <v>55</v>
      </c>
      <c r="D20" s="42" t="s">
        <v>66</v>
      </c>
      <c r="E20" s="42" t="s">
        <v>71</v>
      </c>
      <c r="F20" s="50" t="str">
        <f>LEFT(EmployeeTable3[[#This Row],[First Name]],4)</f>
        <v>Caro</v>
      </c>
      <c r="G20" s="42"/>
      <c r="H20" s="42" t="s">
        <v>58</v>
      </c>
      <c r="I20" s="57" t="str">
        <f t="shared" si="0"/>
        <v>323-8552214</v>
      </c>
      <c r="J20" s="43" t="s">
        <v>59</v>
      </c>
      <c r="K20" s="44" t="s">
        <v>99</v>
      </c>
      <c r="L20" s="52" t="str">
        <f>TEXT(EmployeeTable3[[#This Row],[Joining Date]],"MM-DD-YYYY")</f>
        <v>08-06-2022</v>
      </c>
      <c r="M20" s="45">
        <v>102933</v>
      </c>
      <c r="N20" s="81" t="s">
        <v>37</v>
      </c>
      <c r="O20" s="42" t="s">
        <v>62</v>
      </c>
      <c r="P20" s="42">
        <v>4</v>
      </c>
      <c r="Q20" s="53" t="str">
        <f>IF(EmployeeTable3[[#This Row],[Performance Rating]]&gt;=_xlfn.PERCENTILE.INC(EmployeeTable3[Performance Rating],0.9),"Top 10%","Not Top 10%")</f>
        <v>Not Top 10%</v>
      </c>
      <c r="R20" s="46">
        <v>4695</v>
      </c>
      <c r="S20" s="46">
        <v>80467</v>
      </c>
      <c r="T20" s="42">
        <v>5.14</v>
      </c>
      <c r="U20" s="42">
        <v>25</v>
      </c>
      <c r="V20" s="62">
        <f>NPV(0.05,EmployeeTable3[[#This Row],[Monthly Sales]])</f>
        <v>4471.4285714285716</v>
      </c>
      <c r="W20" s="42" t="s">
        <v>100</v>
      </c>
      <c r="X20" s="53" t="str">
        <f t="shared" si="1"/>
        <v>E</v>
      </c>
      <c r="Y20" s="50" t="str">
        <f>_xlfn.CONCAT(EmployeeTable3[[#This Row],[Region Code]],EmployeeTable3[[#This Row],[Employee ID]],EmployeeTable3[[#This Row],[First Name]],EmployeeTable3[[#This Row],[Last Name]])</f>
        <v>E19CarolSmith</v>
      </c>
      <c r="Z20" s="55" t="str">
        <f>IF(AND(EmployeeTable3[[#This Row],[Performance Rating]]&gt;=4, EmployeeTable3[[#This Row],[Bonus]]&gt;=0.1),"Eligible","Not Eligible")</f>
        <v>Eligible</v>
      </c>
      <c r="AA20" s="53">
        <f t="shared" ca="1" si="2"/>
        <v>3</v>
      </c>
      <c r="AB20" s="62">
        <f>PMT((EmployeeTable3[[#This Row],[Interest Rate %]]/100)/12,EmployeeTable3[[#This Row],[Loan Term (Months)]],-EmployeeTable3[[#This Row],[Loan Amount]])</f>
        <v>3400.9704426806152</v>
      </c>
    </row>
    <row r="21" spans="1:28" ht="17.25" x14ac:dyDescent="0.3">
      <c r="A21" s="41">
        <v>20</v>
      </c>
      <c r="B21" s="48" t="str">
        <f>LOWER(_xlfn.CONCAT(EmployeeTable3[[#This Row],[First Name]],".",EmployeeTable3[[#This Row],[Last Name]],"@company.com"))</f>
        <v>isla.lee@company.com</v>
      </c>
      <c r="C21" s="42" t="s">
        <v>69</v>
      </c>
      <c r="D21" s="42" t="s">
        <v>87</v>
      </c>
      <c r="E21" s="42" t="s">
        <v>41</v>
      </c>
      <c r="F21" s="50" t="str">
        <f>LEFT(EmployeeTable3[[#This Row],[First Name]],4)</f>
        <v>Isla</v>
      </c>
      <c r="G21" s="42"/>
      <c r="H21" s="42" t="s">
        <v>101</v>
      </c>
      <c r="I21" s="57" t="str">
        <f t="shared" si="0"/>
        <v>323-5857874</v>
      </c>
      <c r="J21" s="43" t="s">
        <v>102</v>
      </c>
      <c r="K21" s="44" t="s">
        <v>103</v>
      </c>
      <c r="L21" s="52" t="str">
        <f>TEXT(EmployeeTable3[[#This Row],[Joining Date]],"MM-DD-YYYY")</f>
        <v>01-26-2018</v>
      </c>
      <c r="M21" s="45">
        <v>46532</v>
      </c>
      <c r="N21" s="81" t="s">
        <v>68</v>
      </c>
      <c r="O21" s="42" t="s">
        <v>54</v>
      </c>
      <c r="P21" s="42">
        <v>4.9000000000000004</v>
      </c>
      <c r="Q21" s="53" t="str">
        <f>IF(EmployeeTable3[[#This Row],[Performance Rating]]&gt;=_xlfn.PERCENTILE.INC(EmployeeTable3[Performance Rating],0.9),"Top 10%","Not Top 10%")</f>
        <v>Top 10%</v>
      </c>
      <c r="R21" s="46">
        <v>4747</v>
      </c>
      <c r="S21" s="46">
        <v>74044</v>
      </c>
      <c r="T21" s="42">
        <v>7.9</v>
      </c>
      <c r="U21" s="42">
        <v>53</v>
      </c>
      <c r="V21" s="62">
        <f>NPV(0.05,EmployeeTable3[[#This Row],[Monthly Sales]])</f>
        <v>4520.9523809523807</v>
      </c>
      <c r="W21" s="42" t="s">
        <v>104</v>
      </c>
      <c r="X21" s="53" t="str">
        <f t="shared" si="1"/>
        <v>N</v>
      </c>
      <c r="Y21" s="50" t="str">
        <f>_xlfn.CONCAT(EmployeeTable3[[#This Row],[Region Code]],EmployeeTable3[[#This Row],[Employee ID]],EmployeeTable3[[#This Row],[First Name]],EmployeeTable3[[#This Row],[Last Name]])</f>
        <v>N20IslaLee</v>
      </c>
      <c r="Z21" s="55" t="str">
        <f>IF(AND(EmployeeTable3[[#This Row],[Performance Rating]]&gt;=4, EmployeeTable3[[#This Row],[Bonus]]&gt;=0.1),"Eligible","Not Eligible")</f>
        <v>Eligible</v>
      </c>
      <c r="AA21" s="53">
        <f t="shared" ca="1" si="2"/>
        <v>8</v>
      </c>
      <c r="AB21" s="62">
        <f>PMT((EmployeeTable3[[#This Row],[Interest Rate %]]/100)/12,EmployeeTable3[[#This Row],[Loan Term (Months)]],-EmployeeTable3[[#This Row],[Loan Amount]])</f>
        <v>1659.4770101709769</v>
      </c>
    </row>
    <row r="22" spans="1:28" ht="17.25" x14ac:dyDescent="0.3">
      <c r="A22" s="41">
        <v>21</v>
      </c>
      <c r="B22" s="48" t="str">
        <f>LOWER(_xlfn.CONCAT(EmployeeTable3[[#This Row],[First Name]],".",EmployeeTable3[[#This Row],[Last Name]],"@company.com"))</f>
        <v>grace.green@company.com</v>
      </c>
      <c r="C22" s="42" t="s">
        <v>55</v>
      </c>
      <c r="D22" s="42" t="s">
        <v>64</v>
      </c>
      <c r="E22" s="42" t="s">
        <v>49</v>
      </c>
      <c r="F22" s="50" t="str">
        <f>LEFT(EmployeeTable3[[#This Row],[First Name]],4)</f>
        <v>Grac</v>
      </c>
      <c r="G22" s="42"/>
      <c r="H22" s="42" t="s">
        <v>26</v>
      </c>
      <c r="I22" s="57" t="str">
        <f t="shared" si="0"/>
        <v>323-6998874</v>
      </c>
      <c r="J22" s="43" t="s">
        <v>27</v>
      </c>
      <c r="K22" s="44" t="s">
        <v>105</v>
      </c>
      <c r="L22" s="52" t="str">
        <f>TEXT(EmployeeTable3[[#This Row],[Joining Date]],"MM-DD-YYYY")</f>
        <v>09-08-2019</v>
      </c>
      <c r="M22" s="45">
        <v>105654</v>
      </c>
      <c r="N22" s="81" t="s">
        <v>91</v>
      </c>
      <c r="O22" s="42" t="s">
        <v>30</v>
      </c>
      <c r="P22" s="42">
        <v>5</v>
      </c>
      <c r="Q22" s="53" t="str">
        <f>IF(EmployeeTable3[[#This Row],[Performance Rating]]&gt;=_xlfn.PERCENTILE.INC(EmployeeTable3[Performance Rating],0.9),"Top 10%","Not Top 10%")</f>
        <v>Top 10%</v>
      </c>
      <c r="R22" s="46">
        <v>5005</v>
      </c>
      <c r="S22" s="46">
        <v>59080</v>
      </c>
      <c r="T22" s="42">
        <v>8.99</v>
      </c>
      <c r="U22" s="42">
        <v>26</v>
      </c>
      <c r="V22" s="62">
        <f>NPV(0.05,EmployeeTable3[[#This Row],[Monthly Sales]])</f>
        <v>4766.6666666666661</v>
      </c>
      <c r="W22" s="42" t="s">
        <v>104</v>
      </c>
      <c r="X22" s="53" t="str">
        <f t="shared" si="1"/>
        <v>S</v>
      </c>
      <c r="Y22" s="50" t="str">
        <f>_xlfn.CONCAT(EmployeeTable3[[#This Row],[Region Code]],EmployeeTable3[[#This Row],[Employee ID]],EmployeeTable3[[#This Row],[First Name]],EmployeeTable3[[#This Row],[Last Name]])</f>
        <v>S21GraceGreen</v>
      </c>
      <c r="Z22" s="55" t="str">
        <f>IF(AND(EmployeeTable3[[#This Row],[Performance Rating]]&gt;=4, EmployeeTable3[[#This Row],[Bonus]]&gt;=0.1),"Eligible","Not Eligible")</f>
        <v>Eligible</v>
      </c>
      <c r="AA22" s="53">
        <f t="shared" ca="1" si="2"/>
        <v>6</v>
      </c>
      <c r="AB22" s="62">
        <f>PMT((EmployeeTable3[[#This Row],[Interest Rate %]]/100)/12,EmployeeTable3[[#This Row],[Loan Term (Months)]],-EmployeeTable3[[#This Row],[Loan Amount]])</f>
        <v>2509.2657402296995</v>
      </c>
    </row>
    <row r="23" spans="1:28" ht="17.25" x14ac:dyDescent="0.3">
      <c r="A23" s="41">
        <v>22</v>
      </c>
      <c r="B23" s="48" t="str">
        <f>LOWER(_xlfn.CONCAT(EmployeeTable3[[#This Row],[First Name]],".",EmployeeTable3[[#This Row],[Last Name]],"@company.com"))</f>
        <v>eva.smith@company.com</v>
      </c>
      <c r="C23" s="42" t="s">
        <v>40</v>
      </c>
      <c r="D23" s="42" t="s">
        <v>78</v>
      </c>
      <c r="E23" s="42" t="s">
        <v>71</v>
      </c>
      <c r="F23" s="50" t="str">
        <f>LEFT(EmployeeTable3[[#This Row],[First Name]],4)</f>
        <v>Eva</v>
      </c>
      <c r="G23" s="42"/>
      <c r="H23" s="42" t="s">
        <v>50</v>
      </c>
      <c r="I23" s="57" t="str">
        <f t="shared" si="0"/>
        <v>323-6554412</v>
      </c>
      <c r="J23" s="43" t="s">
        <v>51</v>
      </c>
      <c r="K23" s="44" t="s">
        <v>106</v>
      </c>
      <c r="L23" s="52" t="str">
        <f>TEXT(EmployeeTable3[[#This Row],[Joining Date]],"MM-DD-YYYY")</f>
        <v>03-22-2021</v>
      </c>
      <c r="M23" s="45">
        <v>78006</v>
      </c>
      <c r="N23" s="81" t="s">
        <v>37</v>
      </c>
      <c r="O23" s="42" t="s">
        <v>38</v>
      </c>
      <c r="P23" s="42">
        <v>4</v>
      </c>
      <c r="Q23" s="53" t="str">
        <f>IF(EmployeeTable3[[#This Row],[Performance Rating]]&gt;=_xlfn.PERCENTILE.INC(EmployeeTable3[Performance Rating],0.9),"Top 10%","Not Top 10%")</f>
        <v>Not Top 10%</v>
      </c>
      <c r="R23" s="46">
        <v>5152</v>
      </c>
      <c r="S23" s="46">
        <v>15530</v>
      </c>
      <c r="T23" s="42">
        <v>8.0500000000000007</v>
      </c>
      <c r="U23" s="42">
        <v>28</v>
      </c>
      <c r="V23" s="62">
        <f>NPV(0.05,EmployeeTable3[[#This Row],[Monthly Sales]])</f>
        <v>4906.6666666666661</v>
      </c>
      <c r="W23" s="42" t="s">
        <v>100</v>
      </c>
      <c r="X23" s="53" t="str">
        <f t="shared" si="1"/>
        <v>W</v>
      </c>
      <c r="Y23" s="50" t="str">
        <f>_xlfn.CONCAT(EmployeeTable3[[#This Row],[Region Code]],EmployeeTable3[[#This Row],[Employee ID]],EmployeeTable3[[#This Row],[First Name]],EmployeeTable3[[#This Row],[Last Name]])</f>
        <v>W22EvaSmith</v>
      </c>
      <c r="Z23" s="55" t="str">
        <f>IF(AND(EmployeeTable3[[#This Row],[Performance Rating]]&gt;=4, EmployeeTable3[[#This Row],[Bonus]]&gt;=0.1),"Eligible","Not Eligible")</f>
        <v>Eligible</v>
      </c>
      <c r="AA23" s="53">
        <f t="shared" ca="1" si="2"/>
        <v>5</v>
      </c>
      <c r="AB23" s="62">
        <f>PMT((EmployeeTable3[[#This Row],[Interest Rate %]]/100)/12,EmployeeTable3[[#This Row],[Loan Term (Months)]],-EmployeeTable3[[#This Row],[Loan Amount]])</f>
        <v>610.21567605209691</v>
      </c>
    </row>
    <row r="24" spans="1:28" ht="17.25" x14ac:dyDescent="0.3">
      <c r="A24" s="41">
        <v>23</v>
      </c>
      <c r="B24" s="48" t="str">
        <f>LOWER(_xlfn.CONCAT(EmployeeTable3[[#This Row],[First Name]],".",EmployeeTable3[[#This Row],[Last Name]],"@company.com"))</f>
        <v>bob.smith@company.com</v>
      </c>
      <c r="C24" s="42" t="s">
        <v>69</v>
      </c>
      <c r="D24" s="42" t="s">
        <v>24</v>
      </c>
      <c r="E24" s="42" t="s">
        <v>71</v>
      </c>
      <c r="F24" s="50" t="str">
        <f>LEFT(EmployeeTable3[[#This Row],[First Name]],4)</f>
        <v>Bob</v>
      </c>
      <c r="G24" s="42"/>
      <c r="H24" s="42" t="s">
        <v>42</v>
      </c>
      <c r="I24" s="57" t="str">
        <f t="shared" si="0"/>
        <v>323-5699987</v>
      </c>
      <c r="J24" s="43" t="s">
        <v>43</v>
      </c>
      <c r="K24" s="44" t="s">
        <v>107</v>
      </c>
      <c r="L24" s="52" t="str">
        <f>TEXT(EmployeeTable3[[#This Row],[Joining Date]],"MM-DD-YYYY")</f>
        <v>02-25-2018</v>
      </c>
      <c r="M24" s="45">
        <v>70978</v>
      </c>
      <c r="N24" s="81" t="s">
        <v>68</v>
      </c>
      <c r="O24" s="42" t="s">
        <v>38</v>
      </c>
      <c r="P24" s="42">
        <v>4.5999999999999996</v>
      </c>
      <c r="Q24" s="53" t="str">
        <f>IF(EmployeeTable3[[#This Row],[Performance Rating]]&gt;=_xlfn.PERCENTILE.INC(EmployeeTable3[Performance Rating],0.9),"Top 10%","Not Top 10%")</f>
        <v>Not Top 10%</v>
      </c>
      <c r="R24" s="46">
        <v>5556</v>
      </c>
      <c r="S24" s="46">
        <v>52941</v>
      </c>
      <c r="T24" s="42">
        <v>8.5</v>
      </c>
      <c r="U24" s="42">
        <v>55</v>
      </c>
      <c r="V24" s="62">
        <f>NPV(0.05,EmployeeTable3[[#This Row],[Monthly Sales]])</f>
        <v>5291.4285714285716</v>
      </c>
      <c r="W24" s="42" t="s">
        <v>31</v>
      </c>
      <c r="X24" s="53" t="str">
        <f t="shared" si="1"/>
        <v>W</v>
      </c>
      <c r="Y24" s="50" t="str">
        <f>_xlfn.CONCAT(EmployeeTable3[[#This Row],[Region Code]],EmployeeTable3[[#This Row],[Employee ID]],EmployeeTable3[[#This Row],[First Name]],EmployeeTable3[[#This Row],[Last Name]])</f>
        <v>W23BobSmith</v>
      </c>
      <c r="Z24" s="55" t="str">
        <f>IF(AND(EmployeeTable3[[#This Row],[Performance Rating]]&gt;=4, EmployeeTable3[[#This Row],[Bonus]]&gt;=0.1),"Eligible","Not Eligible")</f>
        <v>Eligible</v>
      </c>
      <c r="AA24" s="53">
        <f t="shared" ca="1" si="2"/>
        <v>8</v>
      </c>
      <c r="AB24" s="62">
        <f>PMT((EmployeeTable3[[#This Row],[Interest Rate %]]/100)/12,EmployeeTable3[[#This Row],[Loan Term (Months)]],-EmployeeTable3[[#This Row],[Loan Amount]])</f>
        <v>1165.5692409745736</v>
      </c>
    </row>
    <row r="25" spans="1:28" ht="17.25" x14ac:dyDescent="0.3">
      <c r="A25" s="41">
        <v>24</v>
      </c>
      <c r="B25" s="48" t="str">
        <f>LOWER(_xlfn.CONCAT(EmployeeTable3[[#This Row],[First Name]],".",EmployeeTable3[[#This Row],[Last Name]],"@company.com"))</f>
        <v>henry.adams@company.com</v>
      </c>
      <c r="C25" s="42" t="s">
        <v>55</v>
      </c>
      <c r="D25" s="42" t="s">
        <v>48</v>
      </c>
      <c r="E25" s="42" t="s">
        <v>108</v>
      </c>
      <c r="F25" s="50" t="str">
        <f>LEFT(EmployeeTable3[[#This Row],[First Name]],4)</f>
        <v>Henr</v>
      </c>
      <c r="G25" s="42"/>
      <c r="H25" s="42" t="s">
        <v>34</v>
      </c>
      <c r="I25" s="57" t="str">
        <f t="shared" si="0"/>
        <v>323-9665568</v>
      </c>
      <c r="J25" s="43" t="s">
        <v>35</v>
      </c>
      <c r="K25" s="44" t="s">
        <v>109</v>
      </c>
      <c r="L25" s="52" t="str">
        <f>TEXT(EmployeeTable3[[#This Row],[Joining Date]],"MM-DD-YYYY")</f>
        <v>10-04-2022</v>
      </c>
      <c r="M25" s="45">
        <v>92365</v>
      </c>
      <c r="N25" s="81" t="s">
        <v>37</v>
      </c>
      <c r="O25" s="42" t="s">
        <v>38</v>
      </c>
      <c r="P25" s="42">
        <v>3.5</v>
      </c>
      <c r="Q25" s="53" t="str">
        <f>IF(EmployeeTable3[[#This Row],[Performance Rating]]&gt;=_xlfn.PERCENTILE.INC(EmployeeTable3[Performance Rating],0.9),"Top 10%","Not Top 10%")</f>
        <v>Not Top 10%</v>
      </c>
      <c r="R25" s="46">
        <v>5561</v>
      </c>
      <c r="S25" s="46">
        <v>99045</v>
      </c>
      <c r="T25" s="42">
        <v>3.49</v>
      </c>
      <c r="U25" s="42">
        <v>27</v>
      </c>
      <c r="V25" s="62">
        <f>NPV(0.05,EmployeeTable3[[#This Row],[Monthly Sales]])</f>
        <v>5296.1904761904761</v>
      </c>
      <c r="W25" s="42" t="s">
        <v>98</v>
      </c>
      <c r="X25" s="53" t="str">
        <f t="shared" si="1"/>
        <v>W</v>
      </c>
      <c r="Y25" s="50" t="str">
        <f>_xlfn.CONCAT(EmployeeTable3[[#This Row],[Region Code]],EmployeeTable3[[#This Row],[Employee ID]],EmployeeTable3[[#This Row],[First Name]],EmployeeTable3[[#This Row],[Last Name]])</f>
        <v>W24HenryAdams</v>
      </c>
      <c r="Z25" s="55" t="str">
        <f>IF(AND(EmployeeTable3[[#This Row],[Performance Rating]]&gt;=4, EmployeeTable3[[#This Row],[Bonus]]&gt;=0.1),"Eligible","Not Eligible")</f>
        <v>Not Eligible</v>
      </c>
      <c r="AA25" s="53">
        <f t="shared" ca="1" si="2"/>
        <v>3</v>
      </c>
      <c r="AB25" s="62">
        <f>PMT((EmployeeTable3[[#This Row],[Interest Rate %]]/100)/12,EmployeeTable3[[#This Row],[Loan Term (Months)]],-EmployeeTable3[[#This Row],[Loan Amount]])</f>
        <v>3819.5750939894447</v>
      </c>
    </row>
    <row r="26" spans="1:28" ht="17.25" x14ac:dyDescent="0.3">
      <c r="A26" s="41">
        <v>25</v>
      </c>
      <c r="B26" s="48" t="str">
        <f>LOWER(_xlfn.CONCAT(EmployeeTable3[[#This Row],[First Name]],".",EmployeeTable3[[#This Row],[Last Name]],"@company.com"))</f>
        <v>eva.miller@company.com</v>
      </c>
      <c r="C26" s="42" t="s">
        <v>55</v>
      </c>
      <c r="D26" s="42" t="s">
        <v>78</v>
      </c>
      <c r="E26" s="42" t="s">
        <v>33</v>
      </c>
      <c r="F26" s="50" t="str">
        <f>LEFT(EmployeeTable3[[#This Row],[First Name]],4)</f>
        <v>Eva</v>
      </c>
      <c r="G26" s="42"/>
      <c r="H26" s="42" t="s">
        <v>58</v>
      </c>
      <c r="I26" s="57" t="str">
        <f t="shared" si="0"/>
        <v>323-8552214</v>
      </c>
      <c r="J26" s="43" t="s">
        <v>59</v>
      </c>
      <c r="K26" s="44" t="s">
        <v>110</v>
      </c>
      <c r="L26" s="52" t="str">
        <f>TEXT(EmployeeTable3[[#This Row],[Joining Date]],"MM-DD-YYYY")</f>
        <v>11-13-2021</v>
      </c>
      <c r="M26" s="45">
        <v>86043</v>
      </c>
      <c r="N26" s="81" t="s">
        <v>97</v>
      </c>
      <c r="O26" s="42" t="s">
        <v>38</v>
      </c>
      <c r="P26" s="42">
        <v>3.5</v>
      </c>
      <c r="Q26" s="53" t="str">
        <f>IF(EmployeeTable3[[#This Row],[Performance Rating]]&gt;=_xlfn.PERCENTILE.INC(EmployeeTable3[Performance Rating],0.9),"Top 10%","Not Top 10%")</f>
        <v>Not Top 10%</v>
      </c>
      <c r="R26" s="46">
        <v>5890</v>
      </c>
      <c r="S26" s="46">
        <v>31834</v>
      </c>
      <c r="T26" s="42">
        <v>7.68</v>
      </c>
      <c r="U26" s="42">
        <v>55</v>
      </c>
      <c r="V26" s="62">
        <f>NPV(0.05,EmployeeTable3[[#This Row],[Monthly Sales]])</f>
        <v>5609.5238095238092</v>
      </c>
      <c r="W26" s="42" t="s">
        <v>46</v>
      </c>
      <c r="X26" s="53" t="str">
        <f t="shared" si="1"/>
        <v>W</v>
      </c>
      <c r="Y26" s="50" t="str">
        <f>_xlfn.CONCAT(EmployeeTable3[[#This Row],[Region Code]],EmployeeTable3[[#This Row],[Employee ID]],EmployeeTable3[[#This Row],[First Name]],EmployeeTable3[[#This Row],[Last Name]])</f>
        <v>W25EvaMiller</v>
      </c>
      <c r="Z26" s="55" t="str">
        <f>IF(AND(EmployeeTable3[[#This Row],[Performance Rating]]&gt;=4, EmployeeTable3[[#This Row],[Bonus]]&gt;=0.1),"Eligible","Not Eligible")</f>
        <v>Not Eligible</v>
      </c>
      <c r="AA26" s="53">
        <f t="shared" ca="1" si="2"/>
        <v>4</v>
      </c>
      <c r="AB26" s="62">
        <f>PMT((EmployeeTable3[[#This Row],[Interest Rate %]]/100)/12,EmployeeTable3[[#This Row],[Loan Term (Months)]],-EmployeeTable3[[#This Row],[Loan Amount]])</f>
        <v>688.46406248756921</v>
      </c>
    </row>
    <row r="27" spans="1:28" ht="17.25" x14ac:dyDescent="0.3">
      <c r="A27" s="41">
        <v>26</v>
      </c>
      <c r="B27" s="48" t="str">
        <f>LOWER(_xlfn.CONCAT(EmployeeTable3[[#This Row],[First Name]],".",EmployeeTable3[[#This Row],[Last Name]],"@company.com"))</f>
        <v>frank.taylor@company.com</v>
      </c>
      <c r="C27" s="42" t="s">
        <v>40</v>
      </c>
      <c r="D27" s="42" t="s">
        <v>56</v>
      </c>
      <c r="E27" s="42" t="s">
        <v>111</v>
      </c>
      <c r="F27" s="50" t="str">
        <f>LEFT(EmployeeTable3[[#This Row],[First Name]],4)</f>
        <v>Fran</v>
      </c>
      <c r="G27" s="42"/>
      <c r="H27" s="42" t="s">
        <v>101</v>
      </c>
      <c r="I27" s="57" t="str">
        <f t="shared" si="0"/>
        <v>323-5857874</v>
      </c>
      <c r="J27" s="43" t="s">
        <v>102</v>
      </c>
      <c r="K27" s="44" t="s">
        <v>112</v>
      </c>
      <c r="L27" s="52" t="str">
        <f>TEXT(EmployeeTable3[[#This Row],[Joining Date]],"MM-DD-YYYY")</f>
        <v>01-01-2015</v>
      </c>
      <c r="M27" s="45">
        <v>46121</v>
      </c>
      <c r="N27" s="81" t="s">
        <v>113</v>
      </c>
      <c r="O27" s="42" t="s">
        <v>54</v>
      </c>
      <c r="P27" s="42">
        <v>4.2</v>
      </c>
      <c r="Q27" s="53" t="str">
        <f>IF(EmployeeTable3[[#This Row],[Performance Rating]]&gt;=_xlfn.PERCENTILE.INC(EmployeeTable3[Performance Rating],0.9),"Top 10%","Not Top 10%")</f>
        <v>Not Top 10%</v>
      </c>
      <c r="R27" s="46">
        <v>5943</v>
      </c>
      <c r="S27" s="46">
        <v>23545</v>
      </c>
      <c r="T27" s="42">
        <v>6.8</v>
      </c>
      <c r="U27" s="42">
        <v>39</v>
      </c>
      <c r="V27" s="62">
        <f>NPV(0.05,EmployeeTable3[[#This Row],[Monthly Sales]])</f>
        <v>5660</v>
      </c>
      <c r="W27" s="42" t="s">
        <v>46</v>
      </c>
      <c r="X27" s="53" t="str">
        <f t="shared" si="1"/>
        <v>N</v>
      </c>
      <c r="Y27" s="50" t="str">
        <f>_xlfn.CONCAT(EmployeeTable3[[#This Row],[Region Code]],EmployeeTable3[[#This Row],[Employee ID]],EmployeeTable3[[#This Row],[First Name]],EmployeeTable3[[#This Row],[Last Name]])</f>
        <v>N26FrankTaylor</v>
      </c>
      <c r="Z27" s="55" t="str">
        <f>IF(AND(EmployeeTable3[[#This Row],[Performance Rating]]&gt;=4, EmployeeTable3[[#This Row],[Bonus]]&gt;=0.1),"Eligible","Not Eligible")</f>
        <v>Eligible</v>
      </c>
      <c r="AA27" s="53">
        <f t="shared" ca="1" si="2"/>
        <v>11</v>
      </c>
      <c r="AB27" s="62">
        <f>PMT((EmployeeTable3[[#This Row],[Interest Rate %]]/100)/12,EmployeeTable3[[#This Row],[Loan Term (Months)]],-EmployeeTable3[[#This Row],[Loan Amount]])</f>
        <v>674.58597082283825</v>
      </c>
    </row>
    <row r="28" spans="1:28" ht="17.25" x14ac:dyDescent="0.3">
      <c r="A28" s="41">
        <v>27</v>
      </c>
      <c r="B28" s="48" t="str">
        <f>LOWER(_xlfn.CONCAT(EmployeeTable3[[#This Row],[First Name]],".",EmployeeTable3[[#This Row],[Last Name]],"@company.com"))</f>
        <v>henry.clark@company.com</v>
      </c>
      <c r="C28" s="42" t="s">
        <v>47</v>
      </c>
      <c r="D28" s="42" t="s">
        <v>48</v>
      </c>
      <c r="E28" s="42" t="s">
        <v>25</v>
      </c>
      <c r="F28" s="50" t="str">
        <f>LEFT(EmployeeTable3[[#This Row],[First Name]],4)</f>
        <v>Henr</v>
      </c>
      <c r="G28" s="42"/>
      <c r="H28" s="42" t="s">
        <v>79</v>
      </c>
      <c r="I28" s="57" t="str">
        <f t="shared" si="0"/>
        <v>323-5558898</v>
      </c>
      <c r="J28" s="43" t="s">
        <v>80</v>
      </c>
      <c r="K28" s="44" t="s">
        <v>114</v>
      </c>
      <c r="L28" s="52" t="str">
        <f>TEXT(EmployeeTable3[[#This Row],[Joining Date]],"MM-DD-YYYY")</f>
        <v>08-13-2016</v>
      </c>
      <c r="M28" s="45">
        <v>65879</v>
      </c>
      <c r="N28" s="81" t="s">
        <v>115</v>
      </c>
      <c r="O28" s="42" t="s">
        <v>38</v>
      </c>
      <c r="P28" s="42">
        <v>4.5999999999999996</v>
      </c>
      <c r="Q28" s="53" t="str">
        <f>IF(EmployeeTable3[[#This Row],[Performance Rating]]&gt;=_xlfn.PERCENTILE.INC(EmployeeTable3[Performance Rating],0.9),"Top 10%","Not Top 10%")</f>
        <v>Not Top 10%</v>
      </c>
      <c r="R28" s="46">
        <v>6297</v>
      </c>
      <c r="S28" s="46">
        <v>93211</v>
      </c>
      <c r="T28" s="42">
        <v>7.68</v>
      </c>
      <c r="U28" s="42">
        <v>43</v>
      </c>
      <c r="V28" s="62">
        <f>NPV(0.05,EmployeeTable3[[#This Row],[Monthly Sales]])</f>
        <v>5997.1428571428569</v>
      </c>
      <c r="W28" s="42" t="s">
        <v>100</v>
      </c>
      <c r="X28" s="53" t="str">
        <f t="shared" si="1"/>
        <v>W</v>
      </c>
      <c r="Y28" s="50" t="str">
        <f>_xlfn.CONCAT(EmployeeTable3[[#This Row],[Region Code]],EmployeeTable3[[#This Row],[Employee ID]],EmployeeTable3[[#This Row],[First Name]],EmployeeTable3[[#This Row],[Last Name]])</f>
        <v>W27HenryClark</v>
      </c>
      <c r="Z28" s="55" t="str">
        <f>IF(AND(EmployeeTable3[[#This Row],[Performance Rating]]&gt;=4, EmployeeTable3[[#This Row],[Bonus]]&gt;=0.1),"Eligible","Not Eligible")</f>
        <v>Eligible</v>
      </c>
      <c r="AA28" s="53">
        <f t="shared" ca="1" si="2"/>
        <v>9</v>
      </c>
      <c r="AB28" s="62">
        <f>PMT((EmployeeTable3[[#This Row],[Interest Rate %]]/100)/12,EmployeeTable3[[#This Row],[Loan Term (Months)]],-EmployeeTable3[[#This Row],[Loan Amount]])</f>
        <v>2486.5223541366713</v>
      </c>
    </row>
    <row r="29" spans="1:28" ht="17.25" x14ac:dyDescent="0.3">
      <c r="A29" s="41">
        <v>28</v>
      </c>
      <c r="B29" s="48" t="str">
        <f>LOWER(_xlfn.CONCAT(EmployeeTable3[[#This Row],[First Name]],".",EmployeeTable3[[#This Row],[Last Name]],"@company.com"))</f>
        <v>bob.johnson@company.com</v>
      </c>
      <c r="C29" s="42" t="s">
        <v>55</v>
      </c>
      <c r="D29" s="42" t="s">
        <v>24</v>
      </c>
      <c r="E29" s="42" t="s">
        <v>73</v>
      </c>
      <c r="F29" s="50" t="str">
        <f>LEFT(EmployeeTable3[[#This Row],[First Name]],4)</f>
        <v>Bob</v>
      </c>
      <c r="G29" s="42"/>
      <c r="H29" s="42" t="s">
        <v>101</v>
      </c>
      <c r="I29" s="57" t="str">
        <f t="shared" si="0"/>
        <v>323-5857874</v>
      </c>
      <c r="J29" s="43" t="s">
        <v>102</v>
      </c>
      <c r="K29" s="44" t="s">
        <v>116</v>
      </c>
      <c r="L29" s="52" t="str">
        <f>TEXT(EmployeeTable3[[#This Row],[Joining Date]],"MM-DD-YYYY")</f>
        <v>03-07-2017</v>
      </c>
      <c r="M29" s="45">
        <v>86464</v>
      </c>
      <c r="N29" s="81" t="s">
        <v>68</v>
      </c>
      <c r="O29" s="42" t="s">
        <v>62</v>
      </c>
      <c r="P29" s="42">
        <v>3.4</v>
      </c>
      <c r="Q29" s="53" t="str">
        <f>IF(EmployeeTable3[[#This Row],[Performance Rating]]&gt;=_xlfn.PERCENTILE.INC(EmployeeTable3[Performance Rating],0.9),"Top 10%","Not Top 10%")</f>
        <v>Not Top 10%</v>
      </c>
      <c r="R29" s="46">
        <v>6426</v>
      </c>
      <c r="S29" s="46">
        <v>64268</v>
      </c>
      <c r="T29" s="42">
        <v>4.46</v>
      </c>
      <c r="U29" s="42">
        <v>27</v>
      </c>
      <c r="V29" s="62">
        <f>NPV(0.05,EmployeeTable3[[#This Row],[Monthly Sales]])</f>
        <v>6120</v>
      </c>
      <c r="W29" s="42" t="s">
        <v>75</v>
      </c>
      <c r="X29" s="53" t="str">
        <f t="shared" si="1"/>
        <v>E</v>
      </c>
      <c r="Y29" s="50" t="str">
        <f>_xlfn.CONCAT(EmployeeTable3[[#This Row],[Region Code]],EmployeeTable3[[#This Row],[Employee ID]],EmployeeTable3[[#This Row],[First Name]],EmployeeTable3[[#This Row],[Last Name]])</f>
        <v>E28BobJohnson</v>
      </c>
      <c r="Z29" s="55" t="str">
        <f>IF(AND(EmployeeTable3[[#This Row],[Performance Rating]]&gt;=4, EmployeeTable3[[#This Row],[Bonus]]&gt;=0.1),"Eligible","Not Eligible")</f>
        <v>Not Eligible</v>
      </c>
      <c r="AA29" s="53">
        <f t="shared" ca="1" si="2"/>
        <v>9</v>
      </c>
      <c r="AB29" s="62">
        <f>PMT((EmployeeTable3[[#This Row],[Interest Rate %]]/100)/12,EmployeeTable3[[#This Row],[Loan Term (Months)]],-EmployeeTable3[[#This Row],[Loan Amount]])</f>
        <v>2506.1417654219977</v>
      </c>
    </row>
    <row r="30" spans="1:28" ht="17.25" x14ac:dyDescent="0.3">
      <c r="A30" s="41">
        <v>29</v>
      </c>
      <c r="B30" s="48" t="str">
        <f>LOWER(_xlfn.CONCAT(EmployeeTable3[[#This Row],[First Name]],".",EmployeeTable3[[#This Row],[Last Name]],"@company.com"))</f>
        <v>carol.clark@company.com</v>
      </c>
      <c r="C30" s="42" t="s">
        <v>69</v>
      </c>
      <c r="D30" s="42" t="s">
        <v>66</v>
      </c>
      <c r="E30" s="42" t="s">
        <v>25</v>
      </c>
      <c r="F30" s="50" t="str">
        <f>LEFT(EmployeeTable3[[#This Row],[First Name]],4)</f>
        <v>Caro</v>
      </c>
      <c r="G30" s="42"/>
      <c r="H30" s="42" t="s">
        <v>83</v>
      </c>
      <c r="I30" s="57" t="str">
        <f t="shared" si="0"/>
        <v>323-5665569</v>
      </c>
      <c r="J30" s="43" t="s">
        <v>84</v>
      </c>
      <c r="K30" s="44" t="s">
        <v>28</v>
      </c>
      <c r="L30" s="52" t="str">
        <f>TEXT(EmployeeTable3[[#This Row],[Joining Date]],"MM-DD-YYYY")</f>
        <v>06-19-2021</v>
      </c>
      <c r="M30" s="45">
        <v>91152</v>
      </c>
      <c r="N30" s="81" t="s">
        <v>68</v>
      </c>
      <c r="O30" s="42" t="s">
        <v>30</v>
      </c>
      <c r="P30" s="42">
        <v>4.9000000000000004</v>
      </c>
      <c r="Q30" s="53" t="str">
        <f>IF(EmployeeTable3[[#This Row],[Performance Rating]]&gt;=_xlfn.PERCENTILE.INC(EmployeeTable3[Performance Rating],0.9),"Top 10%","Not Top 10%")</f>
        <v>Top 10%</v>
      </c>
      <c r="R30" s="46">
        <v>7051</v>
      </c>
      <c r="S30" s="46">
        <v>72623</v>
      </c>
      <c r="T30" s="42">
        <v>9.76</v>
      </c>
      <c r="U30" s="42">
        <v>34</v>
      </c>
      <c r="V30" s="62">
        <f>NPV(0.05,EmployeeTable3[[#This Row],[Monthly Sales]])</f>
        <v>6715.2380952380945</v>
      </c>
      <c r="W30" s="42" t="s">
        <v>63</v>
      </c>
      <c r="X30" s="53" t="str">
        <f t="shared" si="1"/>
        <v>S</v>
      </c>
      <c r="Y30" s="50" t="str">
        <f>_xlfn.CONCAT(EmployeeTable3[[#This Row],[Region Code]],EmployeeTable3[[#This Row],[Employee ID]],EmployeeTable3[[#This Row],[First Name]],EmployeeTable3[[#This Row],[Last Name]])</f>
        <v>S29CarolClark</v>
      </c>
      <c r="Z30" s="55" t="str">
        <f>IF(AND(EmployeeTable3[[#This Row],[Performance Rating]]&gt;=4, EmployeeTable3[[#This Row],[Bonus]]&gt;=0.1),"Eligible","Not Eligible")</f>
        <v>Eligible</v>
      </c>
      <c r="AA30" s="53">
        <f t="shared" ca="1" si="2"/>
        <v>4</v>
      </c>
      <c r="AB30" s="62">
        <f>PMT((EmployeeTable3[[#This Row],[Interest Rate %]]/100)/12,EmployeeTable3[[#This Row],[Loan Term (Months)]],-EmployeeTable3[[#This Row],[Loan Amount]])</f>
        <v>2453.5181061892022</v>
      </c>
    </row>
    <row r="31" spans="1:28" ht="17.25" x14ac:dyDescent="0.3">
      <c r="A31" s="41">
        <v>30</v>
      </c>
      <c r="B31" s="48" t="str">
        <f>LOWER(_xlfn.CONCAT(EmployeeTable3[[#This Row],[First Name]],".",EmployeeTable3[[#This Row],[Last Name]],"@company.com"))</f>
        <v>david.smith@company.com</v>
      </c>
      <c r="C31" s="42" t="s">
        <v>55</v>
      </c>
      <c r="D31" s="42" t="s">
        <v>32</v>
      </c>
      <c r="E31" s="42" t="s">
        <v>71</v>
      </c>
      <c r="F31" s="50" t="str">
        <f>LEFT(EmployeeTable3[[#This Row],[First Name]],4)</f>
        <v>Davi</v>
      </c>
      <c r="G31" s="42"/>
      <c r="H31" s="42" t="s">
        <v>101</v>
      </c>
      <c r="I31" s="57" t="str">
        <f t="shared" si="0"/>
        <v>323-5857874</v>
      </c>
      <c r="J31" s="43" t="s">
        <v>102</v>
      </c>
      <c r="K31" s="44" t="s">
        <v>117</v>
      </c>
      <c r="L31" s="52" t="str">
        <f>TEXT(EmployeeTable3[[#This Row],[Joining Date]],"MM-DD-YYYY")</f>
        <v>11-24-2020</v>
      </c>
      <c r="M31" s="45">
        <v>74256</v>
      </c>
      <c r="N31" s="81" t="s">
        <v>37</v>
      </c>
      <c r="O31" s="42" t="s">
        <v>62</v>
      </c>
      <c r="P31" s="42">
        <v>3.2</v>
      </c>
      <c r="Q31" s="53" t="str">
        <f>IF(EmployeeTable3[[#This Row],[Performance Rating]]&gt;=_xlfn.PERCENTILE.INC(EmployeeTable3[Performance Rating],0.9),"Top 10%","Not Top 10%")</f>
        <v>Not Top 10%</v>
      </c>
      <c r="R31" s="46">
        <v>7056</v>
      </c>
      <c r="S31" s="46">
        <v>12811</v>
      </c>
      <c r="T31" s="42">
        <v>6.87</v>
      </c>
      <c r="U31" s="42">
        <v>34</v>
      </c>
      <c r="V31" s="62">
        <f>NPV(0.05,EmployeeTable3[[#This Row],[Monthly Sales]])</f>
        <v>6720</v>
      </c>
      <c r="W31" s="42" t="s">
        <v>98</v>
      </c>
      <c r="X31" s="53" t="str">
        <f t="shared" si="1"/>
        <v>E</v>
      </c>
      <c r="Y31" s="50" t="str">
        <f>_xlfn.CONCAT(EmployeeTable3[[#This Row],[Region Code]],EmployeeTable3[[#This Row],[Employee ID]],EmployeeTable3[[#This Row],[First Name]],EmployeeTable3[[#This Row],[Last Name]])</f>
        <v>E30DavidSmith</v>
      </c>
      <c r="Z31" s="55" t="str">
        <f>IF(AND(EmployeeTable3[[#This Row],[Performance Rating]]&gt;=4, EmployeeTable3[[#This Row],[Bonus]]&gt;=0.1),"Eligible","Not Eligible")</f>
        <v>Not Eligible</v>
      </c>
      <c r="AA31" s="53">
        <f t="shared" ca="1" si="2"/>
        <v>5</v>
      </c>
      <c r="AB31" s="62">
        <f>PMT((EmployeeTable3[[#This Row],[Interest Rate %]]/100)/12,EmployeeTable3[[#This Row],[Loan Term (Months)]],-EmployeeTable3[[#This Row],[Loan Amount]])</f>
        <v>415.72869956806966</v>
      </c>
    </row>
    <row r="32" spans="1:28" ht="17.25" x14ac:dyDescent="0.3">
      <c r="A32" s="41">
        <v>31</v>
      </c>
      <c r="B32" s="48" t="str">
        <f>LOWER(_xlfn.CONCAT(EmployeeTable3[[#This Row],[First Name]],".",EmployeeTable3[[#This Row],[Last Name]],"@company.com"))</f>
        <v>alice.smith@company.com</v>
      </c>
      <c r="C32" s="42" t="s">
        <v>47</v>
      </c>
      <c r="D32" s="42" t="s">
        <v>70</v>
      </c>
      <c r="E32" s="42" t="s">
        <v>71</v>
      </c>
      <c r="F32" s="50" t="str">
        <f>LEFT(EmployeeTable3[[#This Row],[First Name]],4)</f>
        <v>Alic</v>
      </c>
      <c r="G32" s="42"/>
      <c r="H32" s="42" t="s">
        <v>79</v>
      </c>
      <c r="I32" s="57" t="str">
        <f t="shared" si="0"/>
        <v>323-5558898</v>
      </c>
      <c r="J32" s="43" t="s">
        <v>80</v>
      </c>
      <c r="K32" s="44" t="s">
        <v>118</v>
      </c>
      <c r="L32" s="52" t="str">
        <f>TEXT(EmployeeTable3[[#This Row],[Joining Date]],"MM-DD-YYYY")</f>
        <v>08-10-2019</v>
      </c>
      <c r="M32" s="45">
        <v>106368</v>
      </c>
      <c r="N32" s="81" t="s">
        <v>29</v>
      </c>
      <c r="O32" s="42" t="s">
        <v>54</v>
      </c>
      <c r="P32" s="42">
        <v>3.4</v>
      </c>
      <c r="Q32" s="53" t="str">
        <f>IF(EmployeeTable3[[#This Row],[Performance Rating]]&gt;=_xlfn.PERCENTILE.INC(EmployeeTable3[Performance Rating],0.9),"Top 10%","Not Top 10%")</f>
        <v>Not Top 10%</v>
      </c>
      <c r="R32" s="46">
        <v>7258</v>
      </c>
      <c r="S32" s="46">
        <v>22688</v>
      </c>
      <c r="T32" s="42">
        <v>4.88</v>
      </c>
      <c r="U32" s="42">
        <v>16</v>
      </c>
      <c r="V32" s="62">
        <f>NPV(0.05,EmployeeTable3[[#This Row],[Monthly Sales]])</f>
        <v>6912.3809523809523</v>
      </c>
      <c r="W32" s="42" t="s">
        <v>104</v>
      </c>
      <c r="X32" s="53" t="str">
        <f t="shared" si="1"/>
        <v>N</v>
      </c>
      <c r="Y32" s="50" t="str">
        <f>_xlfn.CONCAT(EmployeeTable3[[#This Row],[Region Code]],EmployeeTable3[[#This Row],[Employee ID]],EmployeeTable3[[#This Row],[First Name]],EmployeeTable3[[#This Row],[Last Name]])</f>
        <v>N31AliceSmith</v>
      </c>
      <c r="Z32" s="55" t="str">
        <f>IF(AND(EmployeeTable3[[#This Row],[Performance Rating]]&gt;=4, EmployeeTable3[[#This Row],[Bonus]]&gt;=0.1),"Eligible","Not Eligible")</f>
        <v>Not Eligible</v>
      </c>
      <c r="AA32" s="53">
        <f t="shared" ca="1" si="2"/>
        <v>6</v>
      </c>
      <c r="AB32" s="62">
        <f>PMT((EmployeeTable3[[#This Row],[Interest Rate %]]/100)/12,EmployeeTable3[[#This Row],[Loan Term (Months)]],-EmployeeTable3[[#This Row],[Loan Amount]])</f>
        <v>1467.5128123190404</v>
      </c>
    </row>
    <row r="33" spans="1:28" ht="17.25" x14ac:dyDescent="0.3">
      <c r="A33" s="41">
        <v>32</v>
      </c>
      <c r="B33" s="48" t="str">
        <f>LOWER(_xlfn.CONCAT(EmployeeTable3[[#This Row],[First Name]],".",EmployeeTable3[[#This Row],[Last Name]],"@company.com"))</f>
        <v>david.adams@company.com</v>
      </c>
      <c r="C33" s="42" t="s">
        <v>55</v>
      </c>
      <c r="D33" s="42" t="s">
        <v>32</v>
      </c>
      <c r="E33" s="42" t="s">
        <v>108</v>
      </c>
      <c r="F33" s="50" t="str">
        <f>LEFT(EmployeeTable3[[#This Row],[First Name]],4)</f>
        <v>Davi</v>
      </c>
      <c r="G33" s="42"/>
      <c r="H33" s="42" t="s">
        <v>58</v>
      </c>
      <c r="I33" s="57" t="str">
        <f t="shared" si="0"/>
        <v>323-8552214</v>
      </c>
      <c r="J33" s="43" t="s">
        <v>59</v>
      </c>
      <c r="K33" s="44" t="s">
        <v>119</v>
      </c>
      <c r="L33" s="52" t="str">
        <f>TEXT(EmployeeTable3[[#This Row],[Joining Date]],"MM-DD-YYYY")</f>
        <v>05-02-2020</v>
      </c>
      <c r="M33" s="45">
        <v>109031</v>
      </c>
      <c r="N33" s="81" t="s">
        <v>120</v>
      </c>
      <c r="O33" s="42" t="s">
        <v>62</v>
      </c>
      <c r="P33" s="42">
        <v>4.0999999999999996</v>
      </c>
      <c r="Q33" s="53" t="str">
        <f>IF(EmployeeTable3[[#This Row],[Performance Rating]]&gt;=_xlfn.PERCENTILE.INC(EmployeeTable3[Performance Rating],0.9),"Top 10%","Not Top 10%")</f>
        <v>Not Top 10%</v>
      </c>
      <c r="R33" s="46">
        <v>7276</v>
      </c>
      <c r="S33" s="46">
        <v>56717</v>
      </c>
      <c r="T33" s="42">
        <v>9.67</v>
      </c>
      <c r="U33" s="42">
        <v>23</v>
      </c>
      <c r="V33" s="62">
        <f>NPV(0.05,EmployeeTable3[[#This Row],[Monthly Sales]])</f>
        <v>6929.5238095238092</v>
      </c>
      <c r="W33" s="42" t="s">
        <v>121</v>
      </c>
      <c r="X33" s="53" t="str">
        <f t="shared" si="1"/>
        <v>E</v>
      </c>
      <c r="Y33" s="50" t="str">
        <f>_xlfn.CONCAT(EmployeeTable3[[#This Row],[Region Code]],EmployeeTable3[[#This Row],[Employee ID]],EmployeeTable3[[#This Row],[First Name]],EmployeeTable3[[#This Row],[Last Name]])</f>
        <v>E32DavidAdams</v>
      </c>
      <c r="Z33" s="55" t="str">
        <f>IF(AND(EmployeeTable3[[#This Row],[Performance Rating]]&gt;=4, EmployeeTable3[[#This Row],[Bonus]]&gt;=0.1),"Eligible","Not Eligible")</f>
        <v>Eligible</v>
      </c>
      <c r="AA33" s="53">
        <f t="shared" ca="1" si="2"/>
        <v>6</v>
      </c>
      <c r="AB33" s="62">
        <f>PMT((EmployeeTable3[[#This Row],[Interest Rate %]]/100)/12,EmployeeTable3[[#This Row],[Loan Term (Months)]],-EmployeeTable3[[#This Row],[Loan Amount]])</f>
        <v>2711.4280619100582</v>
      </c>
    </row>
    <row r="34" spans="1:28" ht="17.25" x14ac:dyDescent="0.3">
      <c r="A34" s="41">
        <v>33</v>
      </c>
      <c r="B34" s="48" t="str">
        <f>LOWER(_xlfn.CONCAT(EmployeeTable3[[#This Row],[First Name]],".",EmployeeTable3[[#This Row],[Last Name]],"@company.com"))</f>
        <v>carol.smith@company.com</v>
      </c>
      <c r="C34" s="42" t="s">
        <v>55</v>
      </c>
      <c r="D34" s="42" t="s">
        <v>66</v>
      </c>
      <c r="E34" s="42" t="s">
        <v>71</v>
      </c>
      <c r="F34" s="50" t="str">
        <f>LEFT(EmployeeTable3[[#This Row],[First Name]],4)</f>
        <v>Caro</v>
      </c>
      <c r="G34" s="42"/>
      <c r="H34" s="42" t="s">
        <v>26</v>
      </c>
      <c r="I34" s="57" t="str">
        <f t="shared" ref="I34:I65" si="3">REPLACE(H34,1,3,"323")</f>
        <v>323-6998874</v>
      </c>
      <c r="J34" s="43" t="s">
        <v>27</v>
      </c>
      <c r="K34" s="44" t="s">
        <v>122</v>
      </c>
      <c r="L34" s="52" t="str">
        <f>TEXT(EmployeeTable3[[#This Row],[Joining Date]],"MM-DD-YYYY")</f>
        <v>10-11-2016</v>
      </c>
      <c r="M34" s="45">
        <v>55545</v>
      </c>
      <c r="N34" s="81" t="s">
        <v>115</v>
      </c>
      <c r="O34" s="42" t="s">
        <v>62</v>
      </c>
      <c r="P34" s="42">
        <v>3.7</v>
      </c>
      <c r="Q34" s="53" t="str">
        <f>IF(EmployeeTable3[[#This Row],[Performance Rating]]&gt;=_xlfn.PERCENTILE.INC(EmployeeTable3[Performance Rating],0.9),"Top 10%","Not Top 10%")</f>
        <v>Not Top 10%</v>
      </c>
      <c r="R34" s="46">
        <v>7311</v>
      </c>
      <c r="S34" s="46">
        <v>65820</v>
      </c>
      <c r="T34" s="42">
        <v>9.9700000000000006</v>
      </c>
      <c r="U34" s="42">
        <v>43</v>
      </c>
      <c r="V34" s="62">
        <f>NPV(0.05,EmployeeTable3[[#This Row],[Monthly Sales]])</f>
        <v>6962.8571428571422</v>
      </c>
      <c r="W34" s="42" t="s">
        <v>39</v>
      </c>
      <c r="X34" s="53" t="str">
        <f t="shared" si="1"/>
        <v>E</v>
      </c>
      <c r="Y34" s="50" t="str">
        <f>_xlfn.CONCAT(EmployeeTable3[[#This Row],[Region Code]],EmployeeTable3[[#This Row],[Employee ID]],EmployeeTable3[[#This Row],[First Name]],EmployeeTable3[[#This Row],[Last Name]])</f>
        <v>E33CarolSmith</v>
      </c>
      <c r="Z34" s="55" t="str">
        <f>IF(AND(EmployeeTable3[[#This Row],[Performance Rating]]&gt;=4, EmployeeTable3[[#This Row],[Bonus]]&gt;=0.1),"Eligible","Not Eligible")</f>
        <v>Not Eligible</v>
      </c>
      <c r="AA34" s="53">
        <f t="shared" ref="AA34:AA65" ca="1" si="4">DATEDIF(K34,TODAY(),"Y")</f>
        <v>9</v>
      </c>
      <c r="AB34" s="62">
        <f>PMT((EmployeeTable3[[#This Row],[Interest Rate %]]/100)/12,EmployeeTable3[[#This Row],[Loan Term (Months)]],-EmployeeTable3[[#This Row],[Loan Amount]])</f>
        <v>1826.6542599622157</v>
      </c>
    </row>
    <row r="35" spans="1:28" ht="17.25" x14ac:dyDescent="0.3">
      <c r="A35" s="41">
        <v>34</v>
      </c>
      <c r="B35" s="48" t="str">
        <f>LOWER(_xlfn.CONCAT(EmployeeTable3[[#This Row],[First Name]],".",EmployeeTable3[[#This Row],[Last Name]],"@company.com"))</f>
        <v>bob.green@company.com</v>
      </c>
      <c r="C35" s="42" t="s">
        <v>69</v>
      </c>
      <c r="D35" s="42" t="s">
        <v>24</v>
      </c>
      <c r="E35" s="42" t="s">
        <v>49</v>
      </c>
      <c r="F35" s="50" t="str">
        <f>LEFT(EmployeeTable3[[#This Row],[First Name]],4)</f>
        <v>Bob</v>
      </c>
      <c r="G35" s="42"/>
      <c r="H35" s="42" t="s">
        <v>101</v>
      </c>
      <c r="I35" s="57" t="str">
        <f t="shared" si="3"/>
        <v>323-5857874</v>
      </c>
      <c r="J35" s="43" t="s">
        <v>102</v>
      </c>
      <c r="K35" s="44" t="s">
        <v>123</v>
      </c>
      <c r="L35" s="52" t="str">
        <f>TEXT(EmployeeTable3[[#This Row],[Joining Date]],"MM-DD-YYYY")</f>
        <v>09-26-2020</v>
      </c>
      <c r="M35" s="45">
        <v>118247</v>
      </c>
      <c r="N35" s="81" t="s">
        <v>53</v>
      </c>
      <c r="O35" s="42" t="s">
        <v>54</v>
      </c>
      <c r="P35" s="42">
        <v>3.6</v>
      </c>
      <c r="Q35" s="53" t="str">
        <f>IF(EmployeeTable3[[#This Row],[Performance Rating]]&gt;=_xlfn.PERCENTILE.INC(EmployeeTable3[Performance Rating],0.9),"Top 10%","Not Top 10%")</f>
        <v>Not Top 10%</v>
      </c>
      <c r="R35" s="46">
        <v>7390</v>
      </c>
      <c r="S35" s="46">
        <v>97054</v>
      </c>
      <c r="T35" s="42">
        <v>5.78</v>
      </c>
      <c r="U35" s="42">
        <v>56</v>
      </c>
      <c r="V35" s="62">
        <f>NPV(0.05,EmployeeTable3[[#This Row],[Monthly Sales]])</f>
        <v>7038.0952380952376</v>
      </c>
      <c r="W35" s="42" t="s">
        <v>63</v>
      </c>
      <c r="X35" s="53" t="str">
        <f t="shared" si="1"/>
        <v>N</v>
      </c>
      <c r="Y35" s="50" t="str">
        <f>_xlfn.CONCAT(EmployeeTable3[[#This Row],[Region Code]],EmployeeTable3[[#This Row],[Employee ID]],EmployeeTable3[[#This Row],[First Name]],EmployeeTable3[[#This Row],[Last Name]])</f>
        <v>N34BobGreen</v>
      </c>
      <c r="Z35" s="55" t="str">
        <f>IF(AND(EmployeeTable3[[#This Row],[Performance Rating]]&gt;=4, EmployeeTable3[[#This Row],[Bonus]]&gt;=0.1),"Eligible","Not Eligible")</f>
        <v>Not Eligible</v>
      </c>
      <c r="AA35" s="53">
        <f t="shared" ca="1" si="4"/>
        <v>5</v>
      </c>
      <c r="AB35" s="62">
        <f>PMT((EmployeeTable3[[#This Row],[Interest Rate %]]/100)/12,EmployeeTable3[[#This Row],[Loan Term (Months)]],-EmployeeTable3[[#This Row],[Loan Amount]])</f>
        <v>1981.4860681884772</v>
      </c>
    </row>
    <row r="36" spans="1:28" ht="17.25" x14ac:dyDescent="0.3">
      <c r="A36" s="41">
        <v>35</v>
      </c>
      <c r="B36" s="48" t="str">
        <f>LOWER(_xlfn.CONCAT(EmployeeTable3[[#This Row],[First Name]],".",EmployeeTable3[[#This Row],[Last Name]],"@company.com"))</f>
        <v>jack.brown@company.com</v>
      </c>
      <c r="C36" s="42" t="s">
        <v>40</v>
      </c>
      <c r="D36" s="42" t="s">
        <v>93</v>
      </c>
      <c r="E36" s="42" t="s">
        <v>57</v>
      </c>
      <c r="F36" s="50" t="str">
        <f>LEFT(EmployeeTable3[[#This Row],[First Name]],4)</f>
        <v>Jack</v>
      </c>
      <c r="G36" s="42"/>
      <c r="H36" s="42" t="s">
        <v>101</v>
      </c>
      <c r="I36" s="57" t="str">
        <f t="shared" si="3"/>
        <v>323-5857874</v>
      </c>
      <c r="J36" s="43" t="s">
        <v>102</v>
      </c>
      <c r="K36" s="44" t="s">
        <v>124</v>
      </c>
      <c r="L36" s="52" t="str">
        <f>TEXT(EmployeeTable3[[#This Row],[Joining Date]],"MM-DD-YYYY")</f>
        <v>11-28-2017</v>
      </c>
      <c r="M36" s="45">
        <v>63529</v>
      </c>
      <c r="N36" s="81" t="s">
        <v>97</v>
      </c>
      <c r="O36" s="42" t="s">
        <v>38</v>
      </c>
      <c r="P36" s="42">
        <v>4.3</v>
      </c>
      <c r="Q36" s="53" t="str">
        <f>IF(EmployeeTable3[[#This Row],[Performance Rating]]&gt;=_xlfn.PERCENTILE.INC(EmployeeTable3[Performance Rating],0.9),"Top 10%","Not Top 10%")</f>
        <v>Not Top 10%</v>
      </c>
      <c r="R36" s="46">
        <v>7675</v>
      </c>
      <c r="S36" s="46">
        <v>49353</v>
      </c>
      <c r="T36" s="42">
        <v>5.45</v>
      </c>
      <c r="U36" s="42">
        <v>58</v>
      </c>
      <c r="V36" s="62">
        <f>NPV(0.05,EmployeeTable3[[#This Row],[Monthly Sales]])</f>
        <v>7309.5238095238092</v>
      </c>
      <c r="W36" s="42" t="s">
        <v>46</v>
      </c>
      <c r="X36" s="53" t="str">
        <f t="shared" si="1"/>
        <v>W</v>
      </c>
      <c r="Y36" s="50" t="str">
        <f>_xlfn.CONCAT(EmployeeTable3[[#This Row],[Region Code]],EmployeeTable3[[#This Row],[Employee ID]],EmployeeTable3[[#This Row],[First Name]],EmployeeTable3[[#This Row],[Last Name]])</f>
        <v>W35JackBrown</v>
      </c>
      <c r="Z36" s="55" t="str">
        <f>IF(AND(EmployeeTable3[[#This Row],[Performance Rating]]&gt;=4, EmployeeTable3[[#This Row],[Bonus]]&gt;=0.1),"Eligible","Not Eligible")</f>
        <v>Eligible</v>
      </c>
      <c r="AA36" s="53">
        <f t="shared" ca="1" si="4"/>
        <v>8</v>
      </c>
      <c r="AB36" s="62">
        <f>PMT((EmployeeTable3[[#This Row],[Interest Rate %]]/100)/12,EmployeeTable3[[#This Row],[Loan Term (Months)]],-EmployeeTable3[[#This Row],[Loan Amount]])</f>
        <v>969.82056421933419</v>
      </c>
    </row>
    <row r="37" spans="1:28" ht="17.25" x14ac:dyDescent="0.3">
      <c r="A37" s="41">
        <v>36</v>
      </c>
      <c r="B37" s="48" t="str">
        <f>LOWER(_xlfn.CONCAT(EmployeeTable3[[#This Row],[First Name]],".",EmployeeTable3[[#This Row],[Last Name]],"@company.com"))</f>
        <v>alice.johnson@company.com</v>
      </c>
      <c r="C37" s="42" t="s">
        <v>40</v>
      </c>
      <c r="D37" s="42" t="s">
        <v>70</v>
      </c>
      <c r="E37" s="42" t="s">
        <v>73</v>
      </c>
      <c r="F37" s="50" t="str">
        <f>LEFT(EmployeeTable3[[#This Row],[First Name]],4)</f>
        <v>Alic</v>
      </c>
      <c r="G37" s="42"/>
      <c r="H37" s="42" t="s">
        <v>26</v>
      </c>
      <c r="I37" s="57" t="str">
        <f t="shared" si="3"/>
        <v>323-6998874</v>
      </c>
      <c r="J37" s="43" t="s">
        <v>27</v>
      </c>
      <c r="K37" s="44" t="s">
        <v>125</v>
      </c>
      <c r="L37" s="52" t="str">
        <f>TEXT(EmployeeTable3[[#This Row],[Joining Date]],"MM-DD-YYYY")</f>
        <v>03-30-2015</v>
      </c>
      <c r="M37" s="45">
        <v>88217</v>
      </c>
      <c r="N37" s="81" t="s">
        <v>97</v>
      </c>
      <c r="O37" s="42" t="s">
        <v>30</v>
      </c>
      <c r="P37" s="42">
        <v>4.4000000000000004</v>
      </c>
      <c r="Q37" s="53" t="str">
        <f>IF(EmployeeTable3[[#This Row],[Performance Rating]]&gt;=_xlfn.PERCENTILE.INC(EmployeeTable3[Performance Rating],0.9),"Top 10%","Not Top 10%")</f>
        <v>Not Top 10%</v>
      </c>
      <c r="R37" s="46">
        <v>7892</v>
      </c>
      <c r="S37" s="46">
        <v>75733</v>
      </c>
      <c r="T37" s="42">
        <v>9.51</v>
      </c>
      <c r="U37" s="42">
        <v>23</v>
      </c>
      <c r="V37" s="62">
        <f>NPV(0.05,EmployeeTable3[[#This Row],[Monthly Sales]])</f>
        <v>7516.1904761904761</v>
      </c>
      <c r="W37" s="42" t="s">
        <v>121</v>
      </c>
      <c r="X37" s="53" t="str">
        <f t="shared" si="1"/>
        <v>S</v>
      </c>
      <c r="Y37" s="50" t="str">
        <f>_xlfn.CONCAT(EmployeeTable3[[#This Row],[Region Code]],EmployeeTable3[[#This Row],[Employee ID]],EmployeeTable3[[#This Row],[First Name]],EmployeeTable3[[#This Row],[Last Name]])</f>
        <v>S36AliceJohnson</v>
      </c>
      <c r="Z37" s="55" t="str">
        <f>IF(AND(EmployeeTable3[[#This Row],[Performance Rating]]&gt;=4, EmployeeTable3[[#This Row],[Bonus]]&gt;=0.1),"Eligible","Not Eligible")</f>
        <v>Eligible</v>
      </c>
      <c r="AA37" s="53">
        <f t="shared" ca="1" si="4"/>
        <v>11</v>
      </c>
      <c r="AB37" s="62">
        <f>PMT((EmployeeTable3[[#This Row],[Interest Rate %]]/100)/12,EmployeeTable3[[#This Row],[Loan Term (Months)]],-EmployeeTable3[[#This Row],[Loan Amount]])</f>
        <v>3614.937082033503</v>
      </c>
    </row>
    <row r="38" spans="1:28" ht="17.25" x14ac:dyDescent="0.3">
      <c r="A38" s="41">
        <v>37</v>
      </c>
      <c r="B38" s="48" t="str">
        <f>LOWER(_xlfn.CONCAT(EmployeeTable3[[#This Row],[First Name]],".",EmployeeTable3[[#This Row],[Last Name]],"@company.com"))</f>
        <v>david.adams@company.com</v>
      </c>
      <c r="C38" s="42" t="s">
        <v>47</v>
      </c>
      <c r="D38" s="42" t="s">
        <v>32</v>
      </c>
      <c r="E38" s="42" t="s">
        <v>108</v>
      </c>
      <c r="F38" s="50" t="str">
        <f>LEFT(EmployeeTable3[[#This Row],[First Name]],4)</f>
        <v>Davi</v>
      </c>
      <c r="G38" s="42"/>
      <c r="H38" s="42" t="s">
        <v>50</v>
      </c>
      <c r="I38" s="57" t="str">
        <f t="shared" si="3"/>
        <v>323-6554412</v>
      </c>
      <c r="J38" s="43" t="s">
        <v>51</v>
      </c>
      <c r="K38" s="44" t="s">
        <v>126</v>
      </c>
      <c r="L38" s="52" t="str">
        <f>TEXT(EmployeeTable3[[#This Row],[Joining Date]],"MM-DD-YYYY")</f>
        <v>03-26-2018</v>
      </c>
      <c r="M38" s="45">
        <v>104157</v>
      </c>
      <c r="N38" s="81" t="s">
        <v>29</v>
      </c>
      <c r="O38" s="42" t="s">
        <v>62</v>
      </c>
      <c r="P38" s="42">
        <v>4.0999999999999996</v>
      </c>
      <c r="Q38" s="53" t="str">
        <f>IF(EmployeeTable3[[#This Row],[Performance Rating]]&gt;=_xlfn.PERCENTILE.INC(EmployeeTable3[Performance Rating],0.9),"Top 10%","Not Top 10%")</f>
        <v>Not Top 10%</v>
      </c>
      <c r="R38" s="46">
        <v>8184</v>
      </c>
      <c r="S38" s="46">
        <v>44698</v>
      </c>
      <c r="T38" s="42">
        <v>4.46</v>
      </c>
      <c r="U38" s="42">
        <v>37</v>
      </c>
      <c r="V38" s="62">
        <f>NPV(0.05,EmployeeTable3[[#This Row],[Monthly Sales]])</f>
        <v>7794.2857142857138</v>
      </c>
      <c r="W38" s="42" t="s">
        <v>98</v>
      </c>
      <c r="X38" s="53" t="str">
        <f t="shared" si="1"/>
        <v>E</v>
      </c>
      <c r="Y38" s="50" t="str">
        <f>_xlfn.CONCAT(EmployeeTable3[[#This Row],[Region Code]],EmployeeTable3[[#This Row],[Employee ID]],EmployeeTable3[[#This Row],[First Name]],EmployeeTable3[[#This Row],[Last Name]])</f>
        <v>E37DavidAdams</v>
      </c>
      <c r="Z38" s="55" t="str">
        <f>IF(AND(EmployeeTable3[[#This Row],[Performance Rating]]&gt;=4, EmployeeTable3[[#This Row],[Bonus]]&gt;=0.1),"Eligible","Not Eligible")</f>
        <v>Eligible</v>
      </c>
      <c r="AA38" s="53">
        <f t="shared" ca="1" si="4"/>
        <v>8</v>
      </c>
      <c r="AB38" s="62">
        <f>PMT((EmployeeTable3[[#This Row],[Interest Rate %]]/100)/12,EmployeeTable3[[#This Row],[Loan Term (Months)]],-EmployeeTable3[[#This Row],[Loan Amount]])</f>
        <v>1295.2610666745895</v>
      </c>
    </row>
    <row r="39" spans="1:28" ht="17.25" x14ac:dyDescent="0.3">
      <c r="A39" s="41">
        <v>38</v>
      </c>
      <c r="B39" s="48" t="str">
        <f>LOWER(_xlfn.CONCAT(EmployeeTable3[[#This Row],[First Name]],".",EmployeeTable3[[#This Row],[Last Name]],"@company.com"))</f>
        <v>isla.taylor@company.com</v>
      </c>
      <c r="C39" s="42" t="s">
        <v>40</v>
      </c>
      <c r="D39" s="42" t="s">
        <v>87</v>
      </c>
      <c r="E39" s="42" t="s">
        <v>111</v>
      </c>
      <c r="F39" s="50" t="str">
        <f>LEFT(EmployeeTable3[[#This Row],[First Name]],4)</f>
        <v>Isla</v>
      </c>
      <c r="G39" s="42"/>
      <c r="H39" s="42" t="s">
        <v>101</v>
      </c>
      <c r="I39" s="57" t="str">
        <f t="shared" si="3"/>
        <v>323-5857874</v>
      </c>
      <c r="J39" s="43" t="s">
        <v>102</v>
      </c>
      <c r="K39" s="44" t="s">
        <v>127</v>
      </c>
      <c r="L39" s="52" t="str">
        <f>TEXT(EmployeeTable3[[#This Row],[Joining Date]],"MM-DD-YYYY")</f>
        <v>12-06-2019</v>
      </c>
      <c r="M39" s="45">
        <v>77365</v>
      </c>
      <c r="N39" s="81" t="s">
        <v>53</v>
      </c>
      <c r="O39" s="42" t="s">
        <v>62</v>
      </c>
      <c r="P39" s="42">
        <v>3.1</v>
      </c>
      <c r="Q39" s="53" t="str">
        <f>IF(EmployeeTable3[[#This Row],[Performance Rating]]&gt;=_xlfn.PERCENTILE.INC(EmployeeTable3[Performance Rating],0.9),"Top 10%","Not Top 10%")</f>
        <v>Not Top 10%</v>
      </c>
      <c r="R39" s="46">
        <v>8265</v>
      </c>
      <c r="S39" s="46">
        <v>60636</v>
      </c>
      <c r="T39" s="42">
        <v>7.73</v>
      </c>
      <c r="U39" s="42">
        <v>19</v>
      </c>
      <c r="V39" s="62">
        <f>NPV(0.05,EmployeeTable3[[#This Row],[Monthly Sales]])</f>
        <v>7871.4285714285706</v>
      </c>
      <c r="W39" s="42" t="s">
        <v>31</v>
      </c>
      <c r="X39" s="53" t="str">
        <f t="shared" si="1"/>
        <v>E</v>
      </c>
      <c r="Y39" s="50" t="str">
        <f>_xlfn.CONCAT(EmployeeTable3[[#This Row],[Region Code]],EmployeeTable3[[#This Row],[Employee ID]],EmployeeTable3[[#This Row],[First Name]],EmployeeTable3[[#This Row],[Last Name]])</f>
        <v>E38IslaTaylor</v>
      </c>
      <c r="Z39" s="55" t="str">
        <f>IF(AND(EmployeeTable3[[#This Row],[Performance Rating]]&gt;=4, EmployeeTable3[[#This Row],[Bonus]]&gt;=0.1),"Eligible","Not Eligible")</f>
        <v>Not Eligible</v>
      </c>
      <c r="AA39" s="53">
        <f t="shared" ca="1" si="4"/>
        <v>6</v>
      </c>
      <c r="AB39" s="62">
        <f>PMT((EmployeeTable3[[#This Row],[Interest Rate %]]/100)/12,EmployeeTable3[[#This Row],[Loan Term (Months)]],-EmployeeTable3[[#This Row],[Loan Amount]])</f>
        <v>3400.9047927758343</v>
      </c>
    </row>
    <row r="40" spans="1:28" ht="17.25" x14ac:dyDescent="0.3">
      <c r="A40" s="41">
        <v>39</v>
      </c>
      <c r="B40" s="48" t="str">
        <f>LOWER(_xlfn.CONCAT(EmployeeTable3[[#This Row],[First Name]],".",EmployeeTable3[[#This Row],[Last Name]],"@company.com"))</f>
        <v>bob.taylor@company.com</v>
      </c>
      <c r="C40" s="42" t="s">
        <v>69</v>
      </c>
      <c r="D40" s="42" t="s">
        <v>24</v>
      </c>
      <c r="E40" s="42" t="s">
        <v>111</v>
      </c>
      <c r="F40" s="50" t="str">
        <f>LEFT(EmployeeTable3[[#This Row],[First Name]],4)</f>
        <v>Bob</v>
      </c>
      <c r="G40" s="42"/>
      <c r="H40" s="42" t="s">
        <v>26</v>
      </c>
      <c r="I40" s="57" t="str">
        <f t="shared" si="3"/>
        <v>323-6998874</v>
      </c>
      <c r="J40" s="43" t="s">
        <v>27</v>
      </c>
      <c r="K40" s="44" t="s">
        <v>128</v>
      </c>
      <c r="L40" s="52" t="str">
        <f>TEXT(EmployeeTable3[[#This Row],[Joining Date]],"MM-DD-YYYY")</f>
        <v>01-07-2017</v>
      </c>
      <c r="M40" s="45">
        <v>46331</v>
      </c>
      <c r="N40" s="81" t="s">
        <v>129</v>
      </c>
      <c r="O40" s="42" t="s">
        <v>38</v>
      </c>
      <c r="P40" s="42">
        <v>4.4000000000000004</v>
      </c>
      <c r="Q40" s="53" t="str">
        <f>IF(EmployeeTable3[[#This Row],[Performance Rating]]&gt;=_xlfn.PERCENTILE.INC(EmployeeTable3[Performance Rating],0.9),"Top 10%","Not Top 10%")</f>
        <v>Not Top 10%</v>
      </c>
      <c r="R40" s="46">
        <v>8331</v>
      </c>
      <c r="S40" s="46">
        <v>48623</v>
      </c>
      <c r="T40" s="42">
        <v>4.96</v>
      </c>
      <c r="U40" s="42">
        <v>33</v>
      </c>
      <c r="V40" s="62">
        <f>NPV(0.05,EmployeeTable3[[#This Row],[Monthly Sales]])</f>
        <v>7934.2857142857138</v>
      </c>
      <c r="W40" s="42" t="s">
        <v>31</v>
      </c>
      <c r="X40" s="53" t="str">
        <f t="shared" si="1"/>
        <v>W</v>
      </c>
      <c r="Y40" s="50" t="str">
        <f>_xlfn.CONCAT(EmployeeTable3[[#This Row],[Region Code]],EmployeeTable3[[#This Row],[Employee ID]],EmployeeTable3[[#This Row],[First Name]],EmployeeTable3[[#This Row],[Last Name]])</f>
        <v>W39BobTaylor</v>
      </c>
      <c r="Z40" s="55" t="str">
        <f>IF(AND(EmployeeTable3[[#This Row],[Performance Rating]]&gt;=4, EmployeeTable3[[#This Row],[Bonus]]&gt;=0.1),"Eligible","Not Eligible")</f>
        <v>Eligible</v>
      </c>
      <c r="AA40" s="53">
        <f t="shared" ca="1" si="4"/>
        <v>9</v>
      </c>
      <c r="AB40" s="62">
        <f>PMT((EmployeeTable3[[#This Row],[Interest Rate %]]/100)/12,EmployeeTable3[[#This Row],[Loan Term (Months)]],-EmployeeTable3[[#This Row],[Loan Amount]])</f>
        <v>1579.2337638854628</v>
      </c>
    </row>
    <row r="41" spans="1:28" ht="17.25" x14ac:dyDescent="0.3">
      <c r="A41" s="41">
        <v>40</v>
      </c>
      <c r="B41" s="48" t="str">
        <f>LOWER(_xlfn.CONCAT(EmployeeTable3[[#This Row],[First Name]],".",EmployeeTable3[[#This Row],[Last Name]],"@company.com"))</f>
        <v>david.smith@company.com</v>
      </c>
      <c r="C41" s="42" t="s">
        <v>40</v>
      </c>
      <c r="D41" s="42" t="s">
        <v>32</v>
      </c>
      <c r="E41" s="42" t="s">
        <v>71</v>
      </c>
      <c r="F41" s="50" t="str">
        <f>LEFT(EmployeeTable3[[#This Row],[First Name]],4)</f>
        <v>Davi</v>
      </c>
      <c r="G41" s="42"/>
      <c r="H41" s="42" t="s">
        <v>101</v>
      </c>
      <c r="I41" s="57" t="str">
        <f t="shared" si="3"/>
        <v>323-5857874</v>
      </c>
      <c r="J41" s="43" t="s">
        <v>102</v>
      </c>
      <c r="K41" s="44" t="s">
        <v>130</v>
      </c>
      <c r="L41" s="52" t="str">
        <f>TEXT(EmployeeTable3[[#This Row],[Joining Date]],"MM-DD-YYYY")</f>
        <v>04-10-2022</v>
      </c>
      <c r="M41" s="45">
        <v>102678</v>
      </c>
      <c r="N41" s="81" t="s">
        <v>37</v>
      </c>
      <c r="O41" s="42" t="s">
        <v>38</v>
      </c>
      <c r="P41" s="42">
        <v>3.3</v>
      </c>
      <c r="Q41" s="53" t="str">
        <f>IF(EmployeeTable3[[#This Row],[Performance Rating]]&gt;=_xlfn.PERCENTILE.INC(EmployeeTable3[Performance Rating],0.9),"Top 10%","Not Top 10%")</f>
        <v>Not Top 10%</v>
      </c>
      <c r="R41" s="46">
        <v>8396</v>
      </c>
      <c r="S41" s="46">
        <v>32299</v>
      </c>
      <c r="T41" s="42">
        <v>4.32</v>
      </c>
      <c r="U41" s="42">
        <v>33</v>
      </c>
      <c r="V41" s="62">
        <f>NPV(0.05,EmployeeTable3[[#This Row],[Monthly Sales]])</f>
        <v>7996.1904761904761</v>
      </c>
      <c r="W41" s="42" t="s">
        <v>104</v>
      </c>
      <c r="X41" s="53" t="str">
        <f t="shared" si="1"/>
        <v>W</v>
      </c>
      <c r="Y41" s="50" t="str">
        <f>_xlfn.CONCAT(EmployeeTable3[[#This Row],[Region Code]],EmployeeTable3[[#This Row],[Employee ID]],EmployeeTable3[[#This Row],[First Name]],EmployeeTable3[[#This Row],[Last Name]])</f>
        <v>W40DavidSmith</v>
      </c>
      <c r="Z41" s="55" t="str">
        <f>IF(AND(EmployeeTable3[[#This Row],[Performance Rating]]&gt;=4, EmployeeTable3[[#This Row],[Bonus]]&gt;=0.1),"Eligible","Not Eligible")</f>
        <v>Not Eligible</v>
      </c>
      <c r="AA41" s="53">
        <f t="shared" ca="1" si="4"/>
        <v>4</v>
      </c>
      <c r="AB41" s="62">
        <f>PMT((EmployeeTable3[[#This Row],[Interest Rate %]]/100)/12,EmployeeTable3[[#This Row],[Loan Term (Months)]],-EmployeeTable3[[#This Row],[Loan Amount]])</f>
        <v>1039.8052842795198</v>
      </c>
    </row>
    <row r="42" spans="1:28" ht="17.25" x14ac:dyDescent="0.3">
      <c r="A42" s="41">
        <v>41</v>
      </c>
      <c r="B42" s="48" t="str">
        <f>LOWER(_xlfn.CONCAT(EmployeeTable3[[#This Row],[First Name]],".",EmployeeTable3[[#This Row],[Last Name]],"@company.com"))</f>
        <v>henry.lee@company.com</v>
      </c>
      <c r="C42" s="42" t="s">
        <v>55</v>
      </c>
      <c r="D42" s="42" t="s">
        <v>48</v>
      </c>
      <c r="E42" s="42" t="s">
        <v>41</v>
      </c>
      <c r="F42" s="50" t="str">
        <f>LEFT(EmployeeTable3[[#This Row],[First Name]],4)</f>
        <v>Henr</v>
      </c>
      <c r="G42" s="42"/>
      <c r="H42" s="42" t="s">
        <v>79</v>
      </c>
      <c r="I42" s="57" t="str">
        <f t="shared" si="3"/>
        <v>323-5558898</v>
      </c>
      <c r="J42" s="43" t="s">
        <v>80</v>
      </c>
      <c r="K42" s="44" t="s">
        <v>131</v>
      </c>
      <c r="L42" s="52" t="str">
        <f>TEXT(EmployeeTable3[[#This Row],[Joining Date]],"MM-DD-YYYY")</f>
        <v>05-16-2016</v>
      </c>
      <c r="M42" s="45">
        <v>92354</v>
      </c>
      <c r="N42" s="81" t="s">
        <v>132</v>
      </c>
      <c r="O42" s="42" t="s">
        <v>30</v>
      </c>
      <c r="P42" s="42">
        <v>3.5</v>
      </c>
      <c r="Q42" s="53" t="str">
        <f>IF(EmployeeTable3[[#This Row],[Performance Rating]]&gt;=_xlfn.PERCENTILE.INC(EmployeeTable3[Performance Rating],0.9),"Top 10%","Not Top 10%")</f>
        <v>Not Top 10%</v>
      </c>
      <c r="R42" s="46">
        <v>8420</v>
      </c>
      <c r="S42" s="46">
        <v>91734</v>
      </c>
      <c r="T42" s="42">
        <v>6.91</v>
      </c>
      <c r="U42" s="42">
        <v>33</v>
      </c>
      <c r="V42" s="62">
        <f>NPV(0.05,EmployeeTable3[[#This Row],[Monthly Sales]])</f>
        <v>8019.0476190476184</v>
      </c>
      <c r="W42" s="42" t="s">
        <v>75</v>
      </c>
      <c r="X42" s="53" t="str">
        <f t="shared" si="1"/>
        <v>S</v>
      </c>
      <c r="Y42" s="50" t="str">
        <f>_xlfn.CONCAT(EmployeeTable3[[#This Row],[Region Code]],EmployeeTable3[[#This Row],[Employee ID]],EmployeeTable3[[#This Row],[First Name]],EmployeeTable3[[#This Row],[Last Name]])</f>
        <v>S41HenryLee</v>
      </c>
      <c r="Z42" s="55" t="str">
        <f>IF(AND(EmployeeTable3[[#This Row],[Performance Rating]]&gt;=4, EmployeeTable3[[#This Row],[Bonus]]&gt;=0.1),"Eligible","Not Eligible")</f>
        <v>Not Eligible</v>
      </c>
      <c r="AA42" s="53">
        <f t="shared" ca="1" si="4"/>
        <v>10</v>
      </c>
      <c r="AB42" s="62">
        <f>PMT((EmployeeTable3[[#This Row],[Interest Rate %]]/100)/12,EmployeeTable3[[#This Row],[Loan Term (Months)]],-EmployeeTable3[[#This Row],[Loan Amount]])</f>
        <v>3060.2673996800645</v>
      </c>
    </row>
    <row r="43" spans="1:28" ht="17.25" x14ac:dyDescent="0.3">
      <c r="A43" s="41">
        <v>42</v>
      </c>
      <c r="B43" s="48" t="str">
        <f>LOWER(_xlfn.CONCAT(EmployeeTable3[[#This Row],[First Name]],".",EmployeeTable3[[#This Row],[Last Name]],"@company.com"))</f>
        <v>david.johnson@company.com</v>
      </c>
      <c r="C43" s="42" t="s">
        <v>23</v>
      </c>
      <c r="D43" s="42" t="s">
        <v>32</v>
      </c>
      <c r="E43" s="42" t="s">
        <v>73</v>
      </c>
      <c r="F43" s="50" t="str">
        <f>LEFT(EmployeeTable3[[#This Row],[First Name]],4)</f>
        <v>Davi</v>
      </c>
      <c r="G43" s="42"/>
      <c r="H43" s="42" t="s">
        <v>79</v>
      </c>
      <c r="I43" s="57" t="str">
        <f t="shared" si="3"/>
        <v>323-5558898</v>
      </c>
      <c r="J43" s="43" t="s">
        <v>80</v>
      </c>
      <c r="K43" s="44" t="s">
        <v>133</v>
      </c>
      <c r="L43" s="52" t="str">
        <f>TEXT(EmployeeTable3[[#This Row],[Joining Date]],"MM-DD-YYYY")</f>
        <v>08-02-2017</v>
      </c>
      <c r="M43" s="45">
        <v>103201</v>
      </c>
      <c r="N43" s="81" t="s">
        <v>82</v>
      </c>
      <c r="O43" s="42" t="s">
        <v>62</v>
      </c>
      <c r="P43" s="42">
        <v>4.5999999999999996</v>
      </c>
      <c r="Q43" s="53" t="str">
        <f>IF(EmployeeTable3[[#This Row],[Performance Rating]]&gt;=_xlfn.PERCENTILE.INC(EmployeeTable3[Performance Rating],0.9),"Top 10%","Not Top 10%")</f>
        <v>Not Top 10%</v>
      </c>
      <c r="R43" s="46">
        <v>8736</v>
      </c>
      <c r="S43" s="46">
        <v>35342</v>
      </c>
      <c r="T43" s="42">
        <v>6.4</v>
      </c>
      <c r="U43" s="42">
        <v>58</v>
      </c>
      <c r="V43" s="62">
        <f>NPV(0.05,EmployeeTable3[[#This Row],[Monthly Sales]])</f>
        <v>8320</v>
      </c>
      <c r="W43" s="42" t="s">
        <v>100</v>
      </c>
      <c r="X43" s="53" t="str">
        <f t="shared" si="1"/>
        <v>E</v>
      </c>
      <c r="Y43" s="50" t="str">
        <f>_xlfn.CONCAT(EmployeeTable3[[#This Row],[Region Code]],EmployeeTable3[[#This Row],[Employee ID]],EmployeeTable3[[#This Row],[First Name]],EmployeeTable3[[#This Row],[Last Name]])</f>
        <v>E42DavidJohnson</v>
      </c>
      <c r="Z43" s="55" t="str">
        <f>IF(AND(EmployeeTable3[[#This Row],[Performance Rating]]&gt;=4, EmployeeTable3[[#This Row],[Bonus]]&gt;=0.1),"Eligible","Not Eligible")</f>
        <v>Eligible</v>
      </c>
      <c r="AA43" s="53">
        <f t="shared" ca="1" si="4"/>
        <v>8</v>
      </c>
      <c r="AB43" s="62">
        <f>PMT((EmployeeTable3[[#This Row],[Interest Rate %]]/100)/12,EmployeeTable3[[#This Row],[Loan Term (Months)]],-EmployeeTable3[[#This Row],[Loan Amount]])</f>
        <v>710.05192947367993</v>
      </c>
    </row>
    <row r="44" spans="1:28" ht="17.25" x14ac:dyDescent="0.3">
      <c r="A44" s="41">
        <v>43</v>
      </c>
      <c r="B44" s="48" t="str">
        <f>LOWER(_xlfn.CONCAT(EmployeeTable3[[#This Row],[First Name]],".",EmployeeTable3[[#This Row],[Last Name]],"@company.com"))</f>
        <v>bob.clark@company.com</v>
      </c>
      <c r="C44" s="42" t="s">
        <v>40</v>
      </c>
      <c r="D44" s="42" t="s">
        <v>24</v>
      </c>
      <c r="E44" s="42" t="s">
        <v>25</v>
      </c>
      <c r="F44" s="50" t="str">
        <f>LEFT(EmployeeTable3[[#This Row],[First Name]],4)</f>
        <v>Bob</v>
      </c>
      <c r="G44" s="42"/>
      <c r="H44" s="42" t="s">
        <v>83</v>
      </c>
      <c r="I44" s="57" t="str">
        <f t="shared" si="3"/>
        <v>323-5665569</v>
      </c>
      <c r="J44" s="43" t="s">
        <v>84</v>
      </c>
      <c r="K44" s="44" t="s">
        <v>134</v>
      </c>
      <c r="L44" s="52" t="str">
        <f>TEXT(EmployeeTable3[[#This Row],[Joining Date]],"MM-DD-YYYY")</f>
        <v>04-25-2018</v>
      </c>
      <c r="M44" s="45">
        <v>112236</v>
      </c>
      <c r="N44" s="81" t="s">
        <v>120</v>
      </c>
      <c r="O44" s="42" t="s">
        <v>30</v>
      </c>
      <c r="P44" s="42">
        <v>4.7</v>
      </c>
      <c r="Q44" s="53" t="str">
        <f>IF(EmployeeTable3[[#This Row],[Performance Rating]]&gt;=_xlfn.PERCENTILE.INC(EmployeeTable3[Performance Rating],0.9),"Top 10%","Not Top 10%")</f>
        <v>Not Top 10%</v>
      </c>
      <c r="R44" s="46">
        <v>8873</v>
      </c>
      <c r="S44" s="46">
        <v>56576</v>
      </c>
      <c r="T44" s="42">
        <v>6.04</v>
      </c>
      <c r="U44" s="42">
        <v>12</v>
      </c>
      <c r="V44" s="62">
        <f>NPV(0.05,EmployeeTable3[[#This Row],[Monthly Sales]])</f>
        <v>8450.4761904761908</v>
      </c>
      <c r="W44" s="42" t="s">
        <v>104</v>
      </c>
      <c r="X44" s="53" t="str">
        <f t="shared" si="1"/>
        <v>S</v>
      </c>
      <c r="Y44" s="50" t="str">
        <f>_xlfn.CONCAT(EmployeeTable3[[#This Row],[Region Code]],EmployeeTable3[[#This Row],[Employee ID]],EmployeeTable3[[#This Row],[First Name]],EmployeeTable3[[#This Row],[Last Name]])</f>
        <v>S43BobClark</v>
      </c>
      <c r="Z44" s="55" t="str">
        <f>IF(AND(EmployeeTable3[[#This Row],[Performance Rating]]&gt;=4, EmployeeTable3[[#This Row],[Bonus]]&gt;=0.1),"Eligible","Not Eligible")</f>
        <v>Eligible</v>
      </c>
      <c r="AA44" s="53">
        <f t="shared" ca="1" si="4"/>
        <v>8</v>
      </c>
      <c r="AB44" s="62">
        <f>PMT((EmployeeTable3[[#This Row],[Interest Rate %]]/100)/12,EmployeeTable3[[#This Row],[Loan Term (Months)]],-EmployeeTable3[[#This Row],[Loan Amount]])</f>
        <v>4870.3345556999366</v>
      </c>
    </row>
    <row r="45" spans="1:28" ht="17.25" x14ac:dyDescent="0.3">
      <c r="A45" s="41">
        <v>44</v>
      </c>
      <c r="B45" s="48" t="str">
        <f>LOWER(_xlfn.CONCAT(EmployeeTable3[[#This Row],[First Name]],".",EmployeeTable3[[#This Row],[Last Name]],"@company.com"))</f>
        <v>henry.taylor@company.com</v>
      </c>
      <c r="C45" s="42" t="s">
        <v>23</v>
      </c>
      <c r="D45" s="42" t="s">
        <v>48</v>
      </c>
      <c r="E45" s="42" t="s">
        <v>111</v>
      </c>
      <c r="F45" s="50" t="str">
        <f>LEFT(EmployeeTable3[[#This Row],[First Name]],4)</f>
        <v>Henr</v>
      </c>
      <c r="G45" s="42"/>
      <c r="H45" s="42" t="s">
        <v>79</v>
      </c>
      <c r="I45" s="57" t="str">
        <f t="shared" si="3"/>
        <v>323-5558898</v>
      </c>
      <c r="J45" s="43" t="s">
        <v>80</v>
      </c>
      <c r="K45" s="44" t="s">
        <v>135</v>
      </c>
      <c r="L45" s="52" t="str">
        <f>TEXT(EmployeeTable3[[#This Row],[Joining Date]],"MM-DD-YYYY")</f>
        <v>09-04-2022</v>
      </c>
      <c r="M45" s="45">
        <v>67179</v>
      </c>
      <c r="N45" s="81" t="s">
        <v>91</v>
      </c>
      <c r="O45" s="42" t="s">
        <v>62</v>
      </c>
      <c r="P45" s="42">
        <v>3.8</v>
      </c>
      <c r="Q45" s="53" t="str">
        <f>IF(EmployeeTable3[[#This Row],[Performance Rating]]&gt;=_xlfn.PERCENTILE.INC(EmployeeTable3[Performance Rating],0.9),"Top 10%","Not Top 10%")</f>
        <v>Not Top 10%</v>
      </c>
      <c r="R45" s="46">
        <v>9208</v>
      </c>
      <c r="S45" s="46">
        <v>65680</v>
      </c>
      <c r="T45" s="42">
        <v>8.23</v>
      </c>
      <c r="U45" s="42">
        <v>14</v>
      </c>
      <c r="V45" s="62">
        <f>NPV(0.05,EmployeeTable3[[#This Row],[Monthly Sales]])</f>
        <v>8769.5238095238092</v>
      </c>
      <c r="W45" s="42" t="s">
        <v>100</v>
      </c>
      <c r="X45" s="53" t="str">
        <f t="shared" si="1"/>
        <v>E</v>
      </c>
      <c r="Y45" s="50" t="str">
        <f>_xlfn.CONCAT(EmployeeTable3[[#This Row],[Region Code]],EmployeeTable3[[#This Row],[Employee ID]],EmployeeTable3[[#This Row],[First Name]],EmployeeTable3[[#This Row],[Last Name]])</f>
        <v>E44HenryTaylor</v>
      </c>
      <c r="Z45" s="55" t="str">
        <f>IF(AND(EmployeeTable3[[#This Row],[Performance Rating]]&gt;=4, EmployeeTable3[[#This Row],[Bonus]]&gt;=0.1),"Eligible","Not Eligible")</f>
        <v>Not Eligible</v>
      </c>
      <c r="AA45" s="53">
        <f t="shared" ca="1" si="4"/>
        <v>3</v>
      </c>
      <c r="AB45" s="62">
        <f>PMT((EmployeeTable3[[#This Row],[Interest Rate %]]/100)/12,EmployeeTable3[[#This Row],[Loan Term (Months)]],-EmployeeTable3[[#This Row],[Loan Amount]])</f>
        <v>4936.3170190821902</v>
      </c>
    </row>
    <row r="46" spans="1:28" ht="17.25" x14ac:dyDescent="0.3">
      <c r="A46" s="41">
        <v>45</v>
      </c>
      <c r="B46" s="48" t="str">
        <f>LOWER(_xlfn.CONCAT(EmployeeTable3[[#This Row],[First Name]],".",EmployeeTable3[[#This Row],[Last Name]],"@company.com"))</f>
        <v>david.brown@company.com</v>
      </c>
      <c r="C46" s="42" t="s">
        <v>69</v>
      </c>
      <c r="D46" s="42" t="s">
        <v>32</v>
      </c>
      <c r="E46" s="42" t="s">
        <v>57</v>
      </c>
      <c r="F46" s="50" t="str">
        <f>LEFT(EmployeeTable3[[#This Row],[First Name]],4)</f>
        <v>Davi</v>
      </c>
      <c r="G46" s="42"/>
      <c r="H46" s="42" t="s">
        <v>26</v>
      </c>
      <c r="I46" s="57" t="str">
        <f t="shared" si="3"/>
        <v>323-6998874</v>
      </c>
      <c r="J46" s="43" t="s">
        <v>27</v>
      </c>
      <c r="K46" s="44" t="s">
        <v>136</v>
      </c>
      <c r="L46" s="52" t="str">
        <f>TEXT(EmployeeTable3[[#This Row],[Joining Date]],"MM-DD-YYYY")</f>
        <v>03-11-2022</v>
      </c>
      <c r="M46" s="45">
        <v>52311</v>
      </c>
      <c r="N46" s="81" t="s">
        <v>29</v>
      </c>
      <c r="O46" s="42" t="s">
        <v>62</v>
      </c>
      <c r="P46" s="42">
        <v>3.4</v>
      </c>
      <c r="Q46" s="53" t="str">
        <f>IF(EmployeeTable3[[#This Row],[Performance Rating]]&gt;=_xlfn.PERCENTILE.INC(EmployeeTable3[Performance Rating],0.9),"Top 10%","Not Top 10%")</f>
        <v>Not Top 10%</v>
      </c>
      <c r="R46" s="46">
        <v>9629</v>
      </c>
      <c r="S46" s="46">
        <v>99474</v>
      </c>
      <c r="T46" s="42">
        <v>6.49</v>
      </c>
      <c r="U46" s="42">
        <v>51</v>
      </c>
      <c r="V46" s="62">
        <f>NPV(0.05,EmployeeTable3[[#This Row],[Monthly Sales]])</f>
        <v>9170.4761904761908</v>
      </c>
      <c r="W46" s="42" t="s">
        <v>31</v>
      </c>
      <c r="X46" s="53" t="str">
        <f t="shared" si="1"/>
        <v>E</v>
      </c>
      <c r="Y46" s="50" t="str">
        <f>_xlfn.CONCAT(EmployeeTable3[[#This Row],[Region Code]],EmployeeTable3[[#This Row],[Employee ID]],EmployeeTable3[[#This Row],[First Name]],EmployeeTable3[[#This Row],[Last Name]])</f>
        <v>E45DavidBrown</v>
      </c>
      <c r="Z46" s="55" t="str">
        <f>IF(AND(EmployeeTable3[[#This Row],[Performance Rating]]&gt;=4, EmployeeTable3[[#This Row],[Bonus]]&gt;=0.1),"Eligible","Not Eligible")</f>
        <v>Not Eligible</v>
      </c>
      <c r="AA46" s="53">
        <f t="shared" ca="1" si="4"/>
        <v>4</v>
      </c>
      <c r="AB46" s="62">
        <f>PMT((EmployeeTable3[[#This Row],[Interest Rate %]]/100)/12,EmployeeTable3[[#This Row],[Loan Term (Months)]],-EmployeeTable3[[#This Row],[Loan Amount]])</f>
        <v>2237.0515654891092</v>
      </c>
    </row>
    <row r="47" spans="1:28" ht="17.25" x14ac:dyDescent="0.3">
      <c r="A47" s="41">
        <v>46</v>
      </c>
      <c r="B47" s="48" t="str">
        <f>LOWER(_xlfn.CONCAT(EmployeeTable3[[#This Row],[First Name]],".",EmployeeTable3[[#This Row],[Last Name]],"@company.com"))</f>
        <v>isla.davis@company.com</v>
      </c>
      <c r="C47" s="42" t="s">
        <v>55</v>
      </c>
      <c r="D47" s="42" t="s">
        <v>87</v>
      </c>
      <c r="E47" s="42" t="s">
        <v>76</v>
      </c>
      <c r="F47" s="50" t="str">
        <f>LEFT(EmployeeTable3[[#This Row],[First Name]],4)</f>
        <v>Isla</v>
      </c>
      <c r="G47" s="42"/>
      <c r="H47" s="42" t="s">
        <v>26</v>
      </c>
      <c r="I47" s="57" t="str">
        <f t="shared" si="3"/>
        <v>323-6998874</v>
      </c>
      <c r="J47" s="43" t="s">
        <v>27</v>
      </c>
      <c r="K47" s="44" t="s">
        <v>137</v>
      </c>
      <c r="L47" s="52" t="str">
        <f>TEXT(EmployeeTable3[[#This Row],[Joining Date]],"MM-DD-YYYY")</f>
        <v>05-20-2021</v>
      </c>
      <c r="M47" s="45">
        <v>107183</v>
      </c>
      <c r="N47" s="81" t="s">
        <v>132</v>
      </c>
      <c r="O47" s="42" t="s">
        <v>62</v>
      </c>
      <c r="P47" s="42">
        <v>5</v>
      </c>
      <c r="Q47" s="53" t="str">
        <f>IF(EmployeeTable3[[#This Row],[Performance Rating]]&gt;=_xlfn.PERCENTILE.INC(EmployeeTable3[Performance Rating],0.9),"Top 10%","Not Top 10%")</f>
        <v>Top 10%</v>
      </c>
      <c r="R47" s="46">
        <v>9989</v>
      </c>
      <c r="S47" s="46">
        <v>78840</v>
      </c>
      <c r="T47" s="42">
        <v>9.85</v>
      </c>
      <c r="U47" s="42">
        <v>20</v>
      </c>
      <c r="V47" s="62">
        <f>NPV(0.05,EmployeeTable3[[#This Row],[Monthly Sales]])</f>
        <v>9513.3333333333321</v>
      </c>
      <c r="W47" s="42" t="s">
        <v>98</v>
      </c>
      <c r="X47" s="53" t="str">
        <f t="shared" si="1"/>
        <v>E</v>
      </c>
      <c r="Y47" s="50" t="str">
        <f>_xlfn.CONCAT(EmployeeTable3[[#This Row],[Region Code]],EmployeeTable3[[#This Row],[Employee ID]],EmployeeTable3[[#This Row],[First Name]],EmployeeTable3[[#This Row],[Last Name]])</f>
        <v>E46IslaDavis</v>
      </c>
      <c r="Z47" s="55" t="str">
        <f>IF(AND(EmployeeTable3[[#This Row],[Performance Rating]]&gt;=4, EmployeeTable3[[#This Row],[Bonus]]&gt;=0.1),"Eligible","Not Eligible")</f>
        <v>Eligible</v>
      </c>
      <c r="AA47" s="53">
        <f t="shared" ca="1" si="4"/>
        <v>5</v>
      </c>
      <c r="AB47" s="62">
        <f>PMT((EmployeeTable3[[#This Row],[Interest Rate %]]/100)/12,EmployeeTable3[[#This Row],[Loan Term (Months)]],-EmployeeTable3[[#This Row],[Loan Amount]])</f>
        <v>4290.542321709946</v>
      </c>
    </row>
    <row r="48" spans="1:28" ht="17.25" x14ac:dyDescent="0.3">
      <c r="A48" s="41">
        <v>47</v>
      </c>
      <c r="B48" s="48" t="str">
        <f>LOWER(_xlfn.CONCAT(EmployeeTable3[[#This Row],[First Name]],".",EmployeeTable3[[#This Row],[Last Name]],"@company.com"))</f>
        <v>jack.miller@company.com</v>
      </c>
      <c r="C48" s="42" t="s">
        <v>69</v>
      </c>
      <c r="D48" s="42" t="s">
        <v>93</v>
      </c>
      <c r="E48" s="42" t="s">
        <v>33</v>
      </c>
      <c r="F48" s="50" t="str">
        <f>LEFT(EmployeeTable3[[#This Row],[First Name]],4)</f>
        <v>Jack</v>
      </c>
      <c r="G48" s="42"/>
      <c r="H48" s="42" t="s">
        <v>79</v>
      </c>
      <c r="I48" s="57" t="str">
        <f t="shared" si="3"/>
        <v>323-5558898</v>
      </c>
      <c r="J48" s="43" t="s">
        <v>80</v>
      </c>
      <c r="K48" s="44" t="s">
        <v>138</v>
      </c>
      <c r="L48" s="52" t="str">
        <f>TEXT(EmployeeTable3[[#This Row],[Joining Date]],"MM-DD-YYYY")</f>
        <v>04-14-2019</v>
      </c>
      <c r="M48" s="45">
        <v>111417</v>
      </c>
      <c r="N48" s="81" t="s">
        <v>120</v>
      </c>
      <c r="O48" s="42" t="s">
        <v>54</v>
      </c>
      <c r="P48" s="42">
        <v>3.3</v>
      </c>
      <c r="Q48" s="53" t="str">
        <f>IF(EmployeeTable3[[#This Row],[Performance Rating]]&gt;=_xlfn.PERCENTILE.INC(EmployeeTable3[Performance Rating],0.9),"Top 10%","Not Top 10%")</f>
        <v>Not Top 10%</v>
      </c>
      <c r="R48" s="46">
        <v>10006</v>
      </c>
      <c r="S48" s="46">
        <v>36309</v>
      </c>
      <c r="T48" s="42">
        <v>7.01</v>
      </c>
      <c r="U48" s="42">
        <v>48</v>
      </c>
      <c r="V48" s="62">
        <f>NPV(0.05,EmployeeTable3[[#This Row],[Monthly Sales]])</f>
        <v>9529.5238095238092</v>
      </c>
      <c r="W48" s="42" t="s">
        <v>92</v>
      </c>
      <c r="X48" s="53" t="str">
        <f t="shared" si="1"/>
        <v>N</v>
      </c>
      <c r="Y48" s="50" t="str">
        <f>_xlfn.CONCAT(EmployeeTable3[[#This Row],[Region Code]],EmployeeTable3[[#This Row],[Employee ID]],EmployeeTable3[[#This Row],[First Name]],EmployeeTable3[[#This Row],[Last Name]])</f>
        <v>N47JackMiller</v>
      </c>
      <c r="Z48" s="55" t="str">
        <f>IF(AND(EmployeeTable3[[#This Row],[Performance Rating]]&gt;=4, EmployeeTable3[[#This Row],[Bonus]]&gt;=0.1),"Eligible","Not Eligible")</f>
        <v>Not Eligible</v>
      </c>
      <c r="AA48" s="53">
        <f t="shared" ca="1" si="4"/>
        <v>7</v>
      </c>
      <c r="AB48" s="62">
        <f>PMT((EmployeeTable3[[#This Row],[Interest Rate %]]/100)/12,EmployeeTable3[[#This Row],[Loan Term (Months)]],-EmployeeTable3[[#This Row],[Loan Amount]])</f>
        <v>869.63266289639228</v>
      </c>
    </row>
    <row r="49" spans="1:28" ht="17.25" x14ac:dyDescent="0.3">
      <c r="A49" s="41">
        <v>48</v>
      </c>
      <c r="B49" s="48" t="str">
        <f>LOWER(_xlfn.CONCAT(EmployeeTable3[[#This Row],[First Name]],".",EmployeeTable3[[#This Row],[Last Name]],"@company.com"))</f>
        <v>eva.davis@company.com</v>
      </c>
      <c r="C49" s="42" t="s">
        <v>69</v>
      </c>
      <c r="D49" s="42" t="s">
        <v>78</v>
      </c>
      <c r="E49" s="42" t="s">
        <v>76</v>
      </c>
      <c r="F49" s="50" t="str">
        <f>LEFT(EmployeeTable3[[#This Row],[First Name]],4)</f>
        <v>Eva</v>
      </c>
      <c r="G49" s="42"/>
      <c r="H49" s="42" t="s">
        <v>58</v>
      </c>
      <c r="I49" s="57" t="str">
        <f t="shared" si="3"/>
        <v>323-8552214</v>
      </c>
      <c r="J49" s="43" t="s">
        <v>59</v>
      </c>
      <c r="K49" s="44" t="s">
        <v>139</v>
      </c>
      <c r="L49" s="52" t="str">
        <f>TEXT(EmployeeTable3[[#This Row],[Joining Date]],"MM-DD-YYYY")</f>
        <v>06-30-2020</v>
      </c>
      <c r="M49" s="45">
        <v>114199</v>
      </c>
      <c r="N49" s="81" t="s">
        <v>29</v>
      </c>
      <c r="O49" s="42" t="s">
        <v>62</v>
      </c>
      <c r="P49" s="42">
        <v>3.9</v>
      </c>
      <c r="Q49" s="53" t="str">
        <f>IF(EmployeeTable3[[#This Row],[Performance Rating]]&gt;=_xlfn.PERCENTILE.INC(EmployeeTable3[Performance Rating],0.9),"Top 10%","Not Top 10%")</f>
        <v>Not Top 10%</v>
      </c>
      <c r="R49" s="46">
        <v>10110</v>
      </c>
      <c r="S49" s="46">
        <v>82082</v>
      </c>
      <c r="T49" s="42">
        <v>5.94</v>
      </c>
      <c r="U49" s="42">
        <v>16</v>
      </c>
      <c r="V49" s="62">
        <f>NPV(0.05,EmployeeTable3[[#This Row],[Monthly Sales]])</f>
        <v>9628.5714285714275</v>
      </c>
      <c r="W49" s="42" t="s">
        <v>100</v>
      </c>
      <c r="X49" s="53" t="str">
        <f t="shared" si="1"/>
        <v>E</v>
      </c>
      <c r="Y49" s="50" t="str">
        <f>_xlfn.CONCAT(EmployeeTable3[[#This Row],[Region Code]],EmployeeTable3[[#This Row],[Employee ID]],EmployeeTable3[[#This Row],[First Name]],EmployeeTable3[[#This Row],[Last Name]])</f>
        <v>E48EvaDavis</v>
      </c>
      <c r="Z49" s="55" t="str">
        <f>IF(AND(EmployeeTable3[[#This Row],[Performance Rating]]&gt;=4, EmployeeTable3[[#This Row],[Bonus]]&gt;=0.1),"Eligible","Not Eligible")</f>
        <v>Not Eligible</v>
      </c>
      <c r="AA49" s="53">
        <f t="shared" ca="1" si="4"/>
        <v>5</v>
      </c>
      <c r="AB49" s="62">
        <f>PMT((EmployeeTable3[[#This Row],[Interest Rate %]]/100)/12,EmployeeTable3[[#This Row],[Loan Term (Months)]],-EmployeeTable3[[#This Row],[Loan Amount]])</f>
        <v>5348.6392856638849</v>
      </c>
    </row>
    <row r="50" spans="1:28" ht="17.25" x14ac:dyDescent="0.3">
      <c r="A50" s="41">
        <v>49</v>
      </c>
      <c r="B50" s="48" t="str">
        <f>LOWER(_xlfn.CONCAT(EmployeeTable3[[#This Row],[First Name]],".",EmployeeTable3[[#This Row],[Last Name]],"@company.com"))</f>
        <v>eva.smith@company.com</v>
      </c>
      <c r="C50" s="42" t="s">
        <v>47</v>
      </c>
      <c r="D50" s="42" t="s">
        <v>78</v>
      </c>
      <c r="E50" s="42" t="s">
        <v>71</v>
      </c>
      <c r="F50" s="50" t="str">
        <f>LEFT(EmployeeTable3[[#This Row],[First Name]],4)</f>
        <v>Eva</v>
      </c>
      <c r="G50" s="42"/>
      <c r="H50" s="42" t="s">
        <v>101</v>
      </c>
      <c r="I50" s="57" t="str">
        <f t="shared" si="3"/>
        <v>323-5857874</v>
      </c>
      <c r="J50" s="43" t="s">
        <v>102</v>
      </c>
      <c r="K50" s="44" t="s">
        <v>140</v>
      </c>
      <c r="L50" s="52" t="str">
        <f>TEXT(EmployeeTable3[[#This Row],[Joining Date]],"MM-DD-YYYY")</f>
        <v>03-03-2020</v>
      </c>
      <c r="M50" s="45">
        <v>67094</v>
      </c>
      <c r="N50" s="81" t="s">
        <v>115</v>
      </c>
      <c r="O50" s="42" t="s">
        <v>54</v>
      </c>
      <c r="P50" s="42">
        <v>3.5</v>
      </c>
      <c r="Q50" s="53" t="str">
        <f>IF(EmployeeTable3[[#This Row],[Performance Rating]]&gt;=_xlfn.PERCENTILE.INC(EmployeeTable3[Performance Rating],0.9),"Top 10%","Not Top 10%")</f>
        <v>Not Top 10%</v>
      </c>
      <c r="R50" s="46">
        <v>10226</v>
      </c>
      <c r="S50" s="46">
        <v>68053</v>
      </c>
      <c r="T50" s="42">
        <v>5.57</v>
      </c>
      <c r="U50" s="42">
        <v>41</v>
      </c>
      <c r="V50" s="62">
        <f>NPV(0.05,EmployeeTable3[[#This Row],[Monthly Sales]])</f>
        <v>9739.0476190476184</v>
      </c>
      <c r="W50" s="42" t="s">
        <v>98</v>
      </c>
      <c r="X50" s="53" t="str">
        <f t="shared" si="1"/>
        <v>N</v>
      </c>
      <c r="Y50" s="50" t="str">
        <f>_xlfn.CONCAT(EmployeeTable3[[#This Row],[Region Code]],EmployeeTable3[[#This Row],[Employee ID]],EmployeeTable3[[#This Row],[First Name]],EmployeeTable3[[#This Row],[Last Name]])</f>
        <v>N49EvaSmith</v>
      </c>
      <c r="Z50" s="55" t="str">
        <f>IF(AND(EmployeeTable3[[#This Row],[Performance Rating]]&gt;=4, EmployeeTable3[[#This Row],[Bonus]]&gt;=0.1),"Eligible","Not Eligible")</f>
        <v>Not Eligible</v>
      </c>
      <c r="AA50" s="53">
        <f t="shared" ca="1" si="4"/>
        <v>6</v>
      </c>
      <c r="AB50" s="62">
        <f>PMT((EmployeeTable3[[#This Row],[Interest Rate %]]/100)/12,EmployeeTable3[[#This Row],[Loan Term (Months)]],-EmployeeTable3[[#This Row],[Loan Amount]])</f>
        <v>1826.6131014733612</v>
      </c>
    </row>
    <row r="51" spans="1:28" ht="17.25" x14ac:dyDescent="0.3">
      <c r="A51" s="41">
        <v>50</v>
      </c>
      <c r="B51" s="48" t="str">
        <f>LOWER(_xlfn.CONCAT(EmployeeTable3[[#This Row],[First Name]],".",EmployeeTable3[[#This Row],[Last Name]],"@company.com"))</f>
        <v>isla.taylor@company.com</v>
      </c>
      <c r="C51" s="42" t="s">
        <v>23</v>
      </c>
      <c r="D51" s="42" t="s">
        <v>87</v>
      </c>
      <c r="E51" s="42" t="s">
        <v>111</v>
      </c>
      <c r="F51" s="50" t="str">
        <f>LEFT(EmployeeTable3[[#This Row],[First Name]],4)</f>
        <v>Isla</v>
      </c>
      <c r="G51" s="42"/>
      <c r="H51" s="42" t="s">
        <v>101</v>
      </c>
      <c r="I51" s="57" t="str">
        <f t="shared" si="3"/>
        <v>323-5857874</v>
      </c>
      <c r="J51" s="43" t="s">
        <v>102</v>
      </c>
      <c r="K51" s="44" t="s">
        <v>141</v>
      </c>
      <c r="L51" s="52" t="str">
        <f>TEXT(EmployeeTable3[[#This Row],[Joining Date]],"MM-DD-YYYY")</f>
        <v>11-21-2015</v>
      </c>
      <c r="M51" s="45">
        <v>54658</v>
      </c>
      <c r="N51" s="81" t="s">
        <v>29</v>
      </c>
      <c r="O51" s="42" t="s">
        <v>30</v>
      </c>
      <c r="P51" s="42">
        <v>4.3</v>
      </c>
      <c r="Q51" s="53" t="str">
        <f>IF(EmployeeTable3[[#This Row],[Performance Rating]]&gt;=_xlfn.PERCENTILE.INC(EmployeeTable3[Performance Rating],0.9),"Top 10%","Not Top 10%")</f>
        <v>Not Top 10%</v>
      </c>
      <c r="R51" s="46">
        <v>10322</v>
      </c>
      <c r="S51" s="46">
        <v>81910</v>
      </c>
      <c r="T51" s="42">
        <v>4.22</v>
      </c>
      <c r="U51" s="42">
        <v>26</v>
      </c>
      <c r="V51" s="62">
        <f>NPV(0.05,EmployeeTable3[[#This Row],[Monthly Sales]])</f>
        <v>9830.4761904761908</v>
      </c>
      <c r="W51" s="42" t="s">
        <v>100</v>
      </c>
      <c r="X51" s="53" t="str">
        <f t="shared" si="1"/>
        <v>S</v>
      </c>
      <c r="Y51" s="50" t="str">
        <f>_xlfn.CONCAT(EmployeeTable3[[#This Row],[Region Code]],EmployeeTable3[[#This Row],[Employee ID]],EmployeeTable3[[#This Row],[First Name]],EmployeeTable3[[#This Row],[Last Name]])</f>
        <v>S50IslaTaylor</v>
      </c>
      <c r="Z51" s="55" t="str">
        <f>IF(AND(EmployeeTable3[[#This Row],[Performance Rating]]&gt;=4, EmployeeTable3[[#This Row],[Bonus]]&gt;=0.1),"Eligible","Not Eligible")</f>
        <v>Eligible</v>
      </c>
      <c r="AA51" s="53">
        <f t="shared" ca="1" si="4"/>
        <v>10</v>
      </c>
      <c r="AB51" s="62">
        <f>PMT((EmployeeTable3[[#This Row],[Interest Rate %]]/100)/12,EmployeeTable3[[#This Row],[Loan Term (Months)]],-EmployeeTable3[[#This Row],[Loan Amount]])</f>
        <v>3302.1365119425341</v>
      </c>
    </row>
    <row r="52" spans="1:28" ht="17.25" x14ac:dyDescent="0.3">
      <c r="A52" s="41">
        <v>51</v>
      </c>
      <c r="B52" s="48" t="str">
        <f>LOWER(_xlfn.CONCAT(EmployeeTable3[[#This Row],[First Name]],".",EmployeeTable3[[#This Row],[Last Name]],"@company.com"))</f>
        <v>david.brown@company.com</v>
      </c>
      <c r="C52" s="42" t="s">
        <v>23</v>
      </c>
      <c r="D52" s="42" t="s">
        <v>32</v>
      </c>
      <c r="E52" s="42" t="s">
        <v>57</v>
      </c>
      <c r="F52" s="50" t="str">
        <f>LEFT(EmployeeTable3[[#This Row],[First Name]],4)</f>
        <v>Davi</v>
      </c>
      <c r="G52" s="42"/>
      <c r="H52" s="42" t="s">
        <v>50</v>
      </c>
      <c r="I52" s="57" t="str">
        <f t="shared" si="3"/>
        <v>323-6554412</v>
      </c>
      <c r="J52" s="43" t="s">
        <v>51</v>
      </c>
      <c r="K52" s="44" t="s">
        <v>142</v>
      </c>
      <c r="L52" s="52" t="str">
        <f>TEXT(EmployeeTable3[[#This Row],[Joining Date]],"MM-DD-YYYY")</f>
        <v>07-11-2019</v>
      </c>
      <c r="M52" s="45">
        <v>54856</v>
      </c>
      <c r="N52" s="81" t="s">
        <v>89</v>
      </c>
      <c r="O52" s="42" t="s">
        <v>54</v>
      </c>
      <c r="P52" s="42">
        <v>3.2</v>
      </c>
      <c r="Q52" s="53" t="str">
        <f>IF(EmployeeTable3[[#This Row],[Performance Rating]]&gt;=_xlfn.PERCENTILE.INC(EmployeeTable3[Performance Rating],0.9),"Top 10%","Not Top 10%")</f>
        <v>Not Top 10%</v>
      </c>
      <c r="R52" s="46">
        <v>10392</v>
      </c>
      <c r="S52" s="46">
        <v>90623</v>
      </c>
      <c r="T52" s="42">
        <v>7.7</v>
      </c>
      <c r="U52" s="42">
        <v>37</v>
      </c>
      <c r="V52" s="62">
        <f>NPV(0.05,EmployeeTable3[[#This Row],[Monthly Sales]])</f>
        <v>9897.1428571428569</v>
      </c>
      <c r="W52" s="42" t="s">
        <v>39</v>
      </c>
      <c r="X52" s="53" t="str">
        <f t="shared" si="1"/>
        <v>N</v>
      </c>
      <c r="Y52" s="50" t="str">
        <f>_xlfn.CONCAT(EmployeeTable3[[#This Row],[Region Code]],EmployeeTable3[[#This Row],[Employee ID]],EmployeeTable3[[#This Row],[First Name]],EmployeeTable3[[#This Row],[Last Name]])</f>
        <v>N51DavidBrown</v>
      </c>
      <c r="Z52" s="55" t="str">
        <f>IF(AND(EmployeeTable3[[#This Row],[Performance Rating]]&gt;=4, EmployeeTable3[[#This Row],[Bonus]]&gt;=0.1),"Eligible","Not Eligible")</f>
        <v>Not Eligible</v>
      </c>
      <c r="AA52" s="53">
        <f t="shared" ca="1" si="4"/>
        <v>6</v>
      </c>
      <c r="AB52" s="62">
        <f>PMT((EmployeeTable3[[#This Row],[Interest Rate %]]/100)/12,EmployeeTable3[[#This Row],[Loan Term (Months)]],-EmployeeTable3[[#This Row],[Loan Amount]])</f>
        <v>2759.3260840524144</v>
      </c>
    </row>
    <row r="53" spans="1:28" ht="17.25" x14ac:dyDescent="0.3">
      <c r="A53" s="41">
        <v>52</v>
      </c>
      <c r="B53" s="48" t="str">
        <f>LOWER(_xlfn.CONCAT(EmployeeTable3[[#This Row],[First Name]],".",EmployeeTable3[[#This Row],[Last Name]],"@company.com"))</f>
        <v>david.davis@company.com</v>
      </c>
      <c r="C53" s="42" t="s">
        <v>23</v>
      </c>
      <c r="D53" s="42" t="s">
        <v>32</v>
      </c>
      <c r="E53" s="42" t="s">
        <v>76</v>
      </c>
      <c r="F53" s="50" t="str">
        <f>LEFT(EmployeeTable3[[#This Row],[First Name]],4)</f>
        <v>Davi</v>
      </c>
      <c r="G53" s="42"/>
      <c r="H53" s="42" t="s">
        <v>79</v>
      </c>
      <c r="I53" s="57" t="str">
        <f t="shared" si="3"/>
        <v>323-5558898</v>
      </c>
      <c r="J53" s="43" t="s">
        <v>80</v>
      </c>
      <c r="K53" s="44" t="s">
        <v>143</v>
      </c>
      <c r="L53" s="52" t="str">
        <f>TEXT(EmployeeTable3[[#This Row],[Joining Date]],"MM-DD-YYYY")</f>
        <v>11-02-2022</v>
      </c>
      <c r="M53" s="45">
        <v>105417</v>
      </c>
      <c r="N53" s="81" t="s">
        <v>29</v>
      </c>
      <c r="O53" s="42" t="s">
        <v>30</v>
      </c>
      <c r="P53" s="42">
        <v>4.8</v>
      </c>
      <c r="Q53" s="53" t="str">
        <f>IF(EmployeeTable3[[#This Row],[Performance Rating]]&gt;=_xlfn.PERCENTILE.INC(EmployeeTable3[Performance Rating],0.9),"Top 10%","Not Top 10%")</f>
        <v>Not Top 10%</v>
      </c>
      <c r="R53" s="46">
        <v>10433</v>
      </c>
      <c r="S53" s="46">
        <v>33776</v>
      </c>
      <c r="T53" s="42">
        <v>6.4</v>
      </c>
      <c r="U53" s="42">
        <v>41</v>
      </c>
      <c r="V53" s="62">
        <f>NPV(0.05,EmployeeTable3[[#This Row],[Monthly Sales]])</f>
        <v>9936.1904761904752</v>
      </c>
      <c r="W53" s="42" t="s">
        <v>104</v>
      </c>
      <c r="X53" s="53" t="str">
        <f t="shared" si="1"/>
        <v>S</v>
      </c>
      <c r="Y53" s="50" t="str">
        <f>_xlfn.CONCAT(EmployeeTable3[[#This Row],[Region Code]],EmployeeTable3[[#This Row],[Employee ID]],EmployeeTable3[[#This Row],[First Name]],EmployeeTable3[[#This Row],[Last Name]])</f>
        <v>S52DavidDavis</v>
      </c>
      <c r="Z53" s="55" t="str">
        <f>IF(AND(EmployeeTable3[[#This Row],[Performance Rating]]&gt;=4, EmployeeTable3[[#This Row],[Bonus]]&gt;=0.1),"Eligible","Not Eligible")</f>
        <v>Eligible</v>
      </c>
      <c r="AA53" s="53">
        <f t="shared" ca="1" si="4"/>
        <v>3</v>
      </c>
      <c r="AB53" s="62">
        <f>PMT((EmployeeTable3[[#This Row],[Interest Rate %]]/100)/12,EmployeeTable3[[#This Row],[Loan Term (Months)]],-EmployeeTable3[[#This Row],[Loan Amount]])</f>
        <v>919.34028909315145</v>
      </c>
    </row>
    <row r="54" spans="1:28" ht="17.25" x14ac:dyDescent="0.3">
      <c r="A54" s="41">
        <v>53</v>
      </c>
      <c r="B54" s="48" t="str">
        <f>LOWER(_xlfn.CONCAT(EmployeeTable3[[#This Row],[First Name]],".",EmployeeTable3[[#This Row],[Last Name]],"@company.com"))</f>
        <v>henry.smith@company.com</v>
      </c>
      <c r="C54" s="42" t="s">
        <v>40</v>
      </c>
      <c r="D54" s="42" t="s">
        <v>48</v>
      </c>
      <c r="E54" s="42" t="s">
        <v>71</v>
      </c>
      <c r="F54" s="50" t="str">
        <f>LEFT(EmployeeTable3[[#This Row],[First Name]],4)</f>
        <v>Henr</v>
      </c>
      <c r="G54" s="42"/>
      <c r="H54" s="42" t="s">
        <v>26</v>
      </c>
      <c r="I54" s="57" t="str">
        <f t="shared" si="3"/>
        <v>323-6998874</v>
      </c>
      <c r="J54" s="43" t="s">
        <v>27</v>
      </c>
      <c r="K54" s="44" t="s">
        <v>144</v>
      </c>
      <c r="L54" s="52" t="str">
        <f>TEXT(EmployeeTable3[[#This Row],[Joining Date]],"MM-DD-YYYY")</f>
        <v>06-08-2022</v>
      </c>
      <c r="M54" s="45">
        <v>103903</v>
      </c>
      <c r="N54" s="81" t="s">
        <v>129</v>
      </c>
      <c r="O54" s="42" t="s">
        <v>30</v>
      </c>
      <c r="P54" s="42">
        <v>3.1</v>
      </c>
      <c r="Q54" s="53" t="str">
        <f>IF(EmployeeTable3[[#This Row],[Performance Rating]]&gt;=_xlfn.PERCENTILE.INC(EmployeeTable3[Performance Rating],0.9),"Top 10%","Not Top 10%")</f>
        <v>Not Top 10%</v>
      </c>
      <c r="R54" s="46">
        <v>10529</v>
      </c>
      <c r="S54" s="46">
        <v>77172</v>
      </c>
      <c r="T54" s="42">
        <v>8.3800000000000008</v>
      </c>
      <c r="U54" s="42">
        <v>12</v>
      </c>
      <c r="V54" s="62">
        <f>NPV(0.05,EmployeeTable3[[#This Row],[Monthly Sales]])</f>
        <v>10027.619047619048</v>
      </c>
      <c r="W54" s="42" t="s">
        <v>121</v>
      </c>
      <c r="X54" s="53" t="str">
        <f t="shared" si="1"/>
        <v>S</v>
      </c>
      <c r="Y54" s="50" t="str">
        <f>_xlfn.CONCAT(EmployeeTable3[[#This Row],[Region Code]],EmployeeTable3[[#This Row],[Employee ID]],EmployeeTable3[[#This Row],[First Name]],EmployeeTable3[[#This Row],[Last Name]])</f>
        <v>S53HenrySmith</v>
      </c>
      <c r="Z54" s="55" t="str">
        <f>IF(AND(EmployeeTable3[[#This Row],[Performance Rating]]&gt;=4, EmployeeTable3[[#This Row],[Bonus]]&gt;=0.1),"Eligible","Not Eligible")</f>
        <v>Not Eligible</v>
      </c>
      <c r="AA54" s="53">
        <f t="shared" ca="1" si="4"/>
        <v>3</v>
      </c>
      <c r="AB54" s="62">
        <f>PMT((EmployeeTable3[[#This Row],[Interest Rate %]]/100)/12,EmployeeTable3[[#This Row],[Loan Term (Months)]],-EmployeeTable3[[#This Row],[Loan Amount]])</f>
        <v>6726.6376911494126</v>
      </c>
    </row>
    <row r="55" spans="1:28" ht="17.25" x14ac:dyDescent="0.3">
      <c r="A55" s="41">
        <v>54</v>
      </c>
      <c r="B55" s="48" t="str">
        <f>LOWER(_xlfn.CONCAT(EmployeeTable3[[#This Row],[First Name]],".",EmployeeTable3[[#This Row],[Last Name]],"@company.com"))</f>
        <v>alice.brown@company.com</v>
      </c>
      <c r="C55" s="42" t="s">
        <v>47</v>
      </c>
      <c r="D55" s="42" t="s">
        <v>70</v>
      </c>
      <c r="E55" s="42" t="s">
        <v>57</v>
      </c>
      <c r="F55" s="50" t="str">
        <f>LEFT(EmployeeTable3[[#This Row],[First Name]],4)</f>
        <v>Alic</v>
      </c>
      <c r="G55" s="42"/>
      <c r="H55" s="42" t="s">
        <v>50</v>
      </c>
      <c r="I55" s="57" t="str">
        <f t="shared" si="3"/>
        <v>323-6554412</v>
      </c>
      <c r="J55" s="43" t="s">
        <v>51</v>
      </c>
      <c r="K55" s="44" t="s">
        <v>145</v>
      </c>
      <c r="L55" s="52" t="str">
        <f>TEXT(EmployeeTable3[[#This Row],[Joining Date]],"MM-DD-YYYY")</f>
        <v>10-15-2021</v>
      </c>
      <c r="M55" s="45">
        <v>85359</v>
      </c>
      <c r="N55" s="81" t="s">
        <v>29</v>
      </c>
      <c r="O55" s="42" t="s">
        <v>54</v>
      </c>
      <c r="P55" s="42">
        <v>3.7</v>
      </c>
      <c r="Q55" s="53" t="str">
        <f>IF(EmployeeTable3[[#This Row],[Performance Rating]]&gt;=_xlfn.PERCENTILE.INC(EmployeeTable3[Performance Rating],0.9),"Top 10%","Not Top 10%")</f>
        <v>Not Top 10%</v>
      </c>
      <c r="R55" s="46">
        <v>10571</v>
      </c>
      <c r="S55" s="46">
        <v>17392</v>
      </c>
      <c r="T55" s="42">
        <v>9.18</v>
      </c>
      <c r="U55" s="42">
        <v>40</v>
      </c>
      <c r="V55" s="62">
        <f>NPV(0.05,EmployeeTable3[[#This Row],[Monthly Sales]])</f>
        <v>10067.619047619048</v>
      </c>
      <c r="W55" s="42" t="s">
        <v>100</v>
      </c>
      <c r="X55" s="53" t="str">
        <f t="shared" si="1"/>
        <v>N</v>
      </c>
      <c r="Y55" s="50" t="str">
        <f>_xlfn.CONCAT(EmployeeTable3[[#This Row],[Region Code]],EmployeeTable3[[#This Row],[Employee ID]],EmployeeTable3[[#This Row],[First Name]],EmployeeTable3[[#This Row],[Last Name]])</f>
        <v>N54AliceBrown</v>
      </c>
      <c r="Z55" s="55" t="str">
        <f>IF(AND(EmployeeTable3[[#This Row],[Performance Rating]]&gt;=4, EmployeeTable3[[#This Row],[Bonus]]&gt;=0.1),"Eligible","Not Eligible")</f>
        <v>Not Eligible</v>
      </c>
      <c r="AA55" s="53">
        <f t="shared" ca="1" si="4"/>
        <v>4</v>
      </c>
      <c r="AB55" s="62">
        <f>PMT((EmployeeTable3[[#This Row],[Interest Rate %]]/100)/12,EmployeeTable3[[#This Row],[Loan Term (Months)]],-EmployeeTable3[[#This Row],[Loan Amount]])</f>
        <v>506.36000762222</v>
      </c>
    </row>
    <row r="56" spans="1:28" ht="17.25" x14ac:dyDescent="0.3">
      <c r="A56" s="41">
        <v>55</v>
      </c>
      <c r="B56" s="48" t="str">
        <f>LOWER(_xlfn.CONCAT(EmployeeTable3[[#This Row],[First Name]],".",EmployeeTable3[[#This Row],[Last Name]],"@company.com"))</f>
        <v>grace.davis@company.com</v>
      </c>
      <c r="C56" s="42" t="s">
        <v>55</v>
      </c>
      <c r="D56" s="42" t="s">
        <v>64</v>
      </c>
      <c r="E56" s="42" t="s">
        <v>76</v>
      </c>
      <c r="F56" s="50" t="str">
        <f>LEFT(EmployeeTable3[[#This Row],[First Name]],4)</f>
        <v>Grac</v>
      </c>
      <c r="G56" s="42"/>
      <c r="H56" s="42" t="s">
        <v>42</v>
      </c>
      <c r="I56" s="57" t="str">
        <f t="shared" si="3"/>
        <v>323-5699987</v>
      </c>
      <c r="J56" s="43" t="s">
        <v>43</v>
      </c>
      <c r="K56" s="44" t="s">
        <v>146</v>
      </c>
      <c r="L56" s="52" t="str">
        <f>TEXT(EmployeeTable3[[#This Row],[Joining Date]],"MM-DD-YYYY")</f>
        <v>02-03-2020</v>
      </c>
      <c r="M56" s="45">
        <v>50138</v>
      </c>
      <c r="N56" s="81" t="s">
        <v>113</v>
      </c>
      <c r="O56" s="42" t="s">
        <v>54</v>
      </c>
      <c r="P56" s="42">
        <v>3.4</v>
      </c>
      <c r="Q56" s="53" t="str">
        <f>IF(EmployeeTable3[[#This Row],[Performance Rating]]&gt;=_xlfn.PERCENTILE.INC(EmployeeTable3[Performance Rating],0.9),"Top 10%","Not Top 10%")</f>
        <v>Not Top 10%</v>
      </c>
      <c r="R56" s="46">
        <v>10666</v>
      </c>
      <c r="S56" s="46">
        <v>53585</v>
      </c>
      <c r="T56" s="42">
        <v>4.95</v>
      </c>
      <c r="U56" s="42">
        <v>33</v>
      </c>
      <c r="V56" s="62">
        <f>NPV(0.05,EmployeeTable3[[#This Row],[Monthly Sales]])</f>
        <v>10158.095238095239</v>
      </c>
      <c r="W56" s="42" t="s">
        <v>31</v>
      </c>
      <c r="X56" s="53" t="str">
        <f t="shared" si="1"/>
        <v>N</v>
      </c>
      <c r="Y56" s="50" t="str">
        <f>_xlfn.CONCAT(EmployeeTable3[[#This Row],[Region Code]],EmployeeTable3[[#This Row],[Employee ID]],EmployeeTable3[[#This Row],[First Name]],EmployeeTable3[[#This Row],[Last Name]])</f>
        <v>N55GraceDavis</v>
      </c>
      <c r="Z56" s="55" t="str">
        <f>IF(AND(EmployeeTable3[[#This Row],[Performance Rating]]&gt;=4, EmployeeTable3[[#This Row],[Bonus]]&gt;=0.1),"Eligible","Not Eligible")</f>
        <v>Not Eligible</v>
      </c>
      <c r="AA56" s="53">
        <f t="shared" ca="1" si="4"/>
        <v>6</v>
      </c>
      <c r="AB56" s="62">
        <f>PMT((EmployeeTable3[[#This Row],[Interest Rate %]]/100)/12,EmployeeTable3[[#This Row],[Loan Term (Months)]],-EmployeeTable3[[#This Row],[Loan Amount]])</f>
        <v>1740.1551806738619</v>
      </c>
    </row>
    <row r="57" spans="1:28" ht="17.25" x14ac:dyDescent="0.3">
      <c r="A57" s="41">
        <v>56</v>
      </c>
      <c r="B57" s="48" t="str">
        <f>LOWER(_xlfn.CONCAT(EmployeeTable3[[#This Row],[First Name]],".",EmployeeTable3[[#This Row],[Last Name]],"@company.com"))</f>
        <v>jack.lee@company.com</v>
      </c>
      <c r="C57" s="42" t="s">
        <v>40</v>
      </c>
      <c r="D57" s="42" t="s">
        <v>93</v>
      </c>
      <c r="E57" s="42" t="s">
        <v>41</v>
      </c>
      <c r="F57" s="50" t="str">
        <f>LEFT(EmployeeTable3[[#This Row],[First Name]],4)</f>
        <v>Jack</v>
      </c>
      <c r="G57" s="42"/>
      <c r="H57" s="42" t="s">
        <v>79</v>
      </c>
      <c r="I57" s="57" t="str">
        <f t="shared" si="3"/>
        <v>323-5558898</v>
      </c>
      <c r="J57" s="43" t="s">
        <v>80</v>
      </c>
      <c r="K57" s="44" t="s">
        <v>147</v>
      </c>
      <c r="L57" s="52" t="str">
        <f>TEXT(EmployeeTable3[[#This Row],[Joining Date]],"MM-DD-YYYY")</f>
        <v>06-15-2016</v>
      </c>
      <c r="M57" s="45">
        <v>57900</v>
      </c>
      <c r="N57" s="81" t="s">
        <v>115</v>
      </c>
      <c r="O57" s="42" t="s">
        <v>38</v>
      </c>
      <c r="P57" s="42">
        <v>3</v>
      </c>
      <c r="Q57" s="53" t="str">
        <f>IF(EmployeeTable3[[#This Row],[Performance Rating]]&gt;=_xlfn.PERCENTILE.INC(EmployeeTable3[Performance Rating],0.9),"Top 10%","Not Top 10%")</f>
        <v>Not Top 10%</v>
      </c>
      <c r="R57" s="46">
        <v>10792</v>
      </c>
      <c r="S57" s="46">
        <v>25707</v>
      </c>
      <c r="T57" s="42">
        <v>9.82</v>
      </c>
      <c r="U57" s="42">
        <v>17</v>
      </c>
      <c r="V57" s="62">
        <f>NPV(0.05,EmployeeTable3[[#This Row],[Monthly Sales]])</f>
        <v>10278.095238095239</v>
      </c>
      <c r="W57" s="42" t="s">
        <v>63</v>
      </c>
      <c r="X57" s="53" t="str">
        <f t="shared" si="1"/>
        <v>W</v>
      </c>
      <c r="Y57" s="50" t="str">
        <f>_xlfn.CONCAT(EmployeeTable3[[#This Row],[Region Code]],EmployeeTable3[[#This Row],[Employee ID]],EmployeeTable3[[#This Row],[First Name]],EmployeeTable3[[#This Row],[Last Name]])</f>
        <v>W56JackLee</v>
      </c>
      <c r="Z57" s="55" t="str">
        <f>IF(AND(EmployeeTable3[[#This Row],[Performance Rating]]&gt;=4, EmployeeTable3[[#This Row],[Bonus]]&gt;=0.1),"Eligible","Not Eligible")</f>
        <v>Not Eligible</v>
      </c>
      <c r="AA57" s="53">
        <f t="shared" ca="1" si="4"/>
        <v>9</v>
      </c>
      <c r="AB57" s="62">
        <f>PMT((EmployeeTable3[[#This Row],[Interest Rate %]]/100)/12,EmployeeTable3[[#This Row],[Loan Term (Months)]],-EmployeeTable3[[#This Row],[Loan Amount]])</f>
        <v>1625.9679806373574</v>
      </c>
    </row>
    <row r="58" spans="1:28" ht="17.25" x14ac:dyDescent="0.3">
      <c r="A58" s="41">
        <v>57</v>
      </c>
      <c r="B58" s="48" t="str">
        <f>LOWER(_xlfn.CONCAT(EmployeeTable3[[#This Row],[First Name]],".",EmployeeTable3[[#This Row],[Last Name]],"@company.com"))</f>
        <v>eva.lee@company.com</v>
      </c>
      <c r="C58" s="42" t="s">
        <v>23</v>
      </c>
      <c r="D58" s="42" t="s">
        <v>78</v>
      </c>
      <c r="E58" s="42" t="s">
        <v>41</v>
      </c>
      <c r="F58" s="50" t="str">
        <f>LEFT(EmployeeTable3[[#This Row],[First Name]],4)</f>
        <v>Eva</v>
      </c>
      <c r="G58" s="42"/>
      <c r="H58" s="42" t="s">
        <v>79</v>
      </c>
      <c r="I58" s="57" t="str">
        <f t="shared" si="3"/>
        <v>323-5558898</v>
      </c>
      <c r="J58" s="43" t="s">
        <v>80</v>
      </c>
      <c r="K58" s="44" t="s">
        <v>148</v>
      </c>
      <c r="L58" s="52" t="str">
        <f>TEXT(EmployeeTable3[[#This Row],[Joining Date]],"MM-DD-YYYY")</f>
        <v>05-13-2019</v>
      </c>
      <c r="M58" s="45">
        <v>101266</v>
      </c>
      <c r="N58" s="81" t="s">
        <v>132</v>
      </c>
      <c r="O58" s="42" t="s">
        <v>62</v>
      </c>
      <c r="P58" s="42">
        <v>3.7</v>
      </c>
      <c r="Q58" s="53" t="str">
        <f>IF(EmployeeTable3[[#This Row],[Performance Rating]]&gt;=_xlfn.PERCENTILE.INC(EmployeeTable3[Performance Rating],0.9),"Top 10%","Not Top 10%")</f>
        <v>Not Top 10%</v>
      </c>
      <c r="R58" s="46">
        <v>10838</v>
      </c>
      <c r="S58" s="46">
        <v>28047</v>
      </c>
      <c r="T58" s="42">
        <v>7.06</v>
      </c>
      <c r="U58" s="42">
        <v>16</v>
      </c>
      <c r="V58" s="62">
        <f>NPV(0.05,EmployeeTable3[[#This Row],[Monthly Sales]])</f>
        <v>10321.904761904761</v>
      </c>
      <c r="W58" s="42" t="s">
        <v>98</v>
      </c>
      <c r="X58" s="53" t="str">
        <f t="shared" si="1"/>
        <v>E</v>
      </c>
      <c r="Y58" s="50" t="str">
        <f>_xlfn.CONCAT(EmployeeTable3[[#This Row],[Region Code]],EmployeeTable3[[#This Row],[Employee ID]],EmployeeTable3[[#This Row],[First Name]],EmployeeTable3[[#This Row],[Last Name]])</f>
        <v>E57EvaLee</v>
      </c>
      <c r="Z58" s="55" t="str">
        <f>IF(AND(EmployeeTable3[[#This Row],[Performance Rating]]&gt;=4, EmployeeTable3[[#This Row],[Bonus]]&gt;=0.1),"Eligible","Not Eligible")</f>
        <v>Not Eligible</v>
      </c>
      <c r="AA58" s="53">
        <f t="shared" ca="1" si="4"/>
        <v>7</v>
      </c>
      <c r="AB58" s="62">
        <f>PMT((EmployeeTable3[[#This Row],[Interest Rate %]]/100)/12,EmployeeTable3[[#This Row],[Loan Term (Months)]],-EmployeeTable3[[#This Row],[Loan Amount]])</f>
        <v>1841.8843696361282</v>
      </c>
    </row>
    <row r="59" spans="1:28" ht="17.25" x14ac:dyDescent="0.3">
      <c r="A59" s="41">
        <v>58</v>
      </c>
      <c r="B59" s="48" t="str">
        <f>LOWER(_xlfn.CONCAT(EmployeeTable3[[#This Row],[First Name]],".",EmployeeTable3[[#This Row],[Last Name]],"@company.com"))</f>
        <v>grace.davis@company.com</v>
      </c>
      <c r="C59" s="42" t="s">
        <v>23</v>
      </c>
      <c r="D59" s="42" t="s">
        <v>64</v>
      </c>
      <c r="E59" s="42" t="s">
        <v>76</v>
      </c>
      <c r="F59" s="50" t="str">
        <f>LEFT(EmployeeTable3[[#This Row],[First Name]],4)</f>
        <v>Grac</v>
      </c>
      <c r="G59" s="42"/>
      <c r="H59" s="42" t="s">
        <v>50</v>
      </c>
      <c r="I59" s="57" t="str">
        <f t="shared" si="3"/>
        <v>323-6554412</v>
      </c>
      <c r="J59" s="43" t="s">
        <v>51</v>
      </c>
      <c r="K59" s="44" t="s">
        <v>149</v>
      </c>
      <c r="L59" s="52" t="str">
        <f>TEXT(EmployeeTable3[[#This Row],[Joining Date]],"MM-DD-YYYY")</f>
        <v>01-30-2015</v>
      </c>
      <c r="M59" s="45">
        <v>73362</v>
      </c>
      <c r="N59" s="81" t="s">
        <v>68</v>
      </c>
      <c r="O59" s="42" t="s">
        <v>62</v>
      </c>
      <c r="P59" s="42">
        <v>4.5999999999999996</v>
      </c>
      <c r="Q59" s="53" t="str">
        <f>IF(EmployeeTable3[[#This Row],[Performance Rating]]&gt;=_xlfn.PERCENTILE.INC(EmployeeTable3[Performance Rating],0.9),"Top 10%","Not Top 10%")</f>
        <v>Not Top 10%</v>
      </c>
      <c r="R59" s="46">
        <v>11268</v>
      </c>
      <c r="S59" s="46">
        <v>36736</v>
      </c>
      <c r="T59" s="42">
        <v>9.9600000000000009</v>
      </c>
      <c r="U59" s="42">
        <v>50</v>
      </c>
      <c r="V59" s="62">
        <f>NPV(0.05,EmployeeTable3[[#This Row],[Monthly Sales]])</f>
        <v>10731.428571428571</v>
      </c>
      <c r="W59" s="42" t="s">
        <v>46</v>
      </c>
      <c r="X59" s="53" t="str">
        <f t="shared" si="1"/>
        <v>E</v>
      </c>
      <c r="Y59" s="50" t="str">
        <f>_xlfn.CONCAT(EmployeeTable3[[#This Row],[Region Code]],EmployeeTable3[[#This Row],[Employee ID]],EmployeeTable3[[#This Row],[First Name]],EmployeeTable3[[#This Row],[Last Name]])</f>
        <v>E58GraceDavis</v>
      </c>
      <c r="Z59" s="55" t="str">
        <f>IF(AND(EmployeeTable3[[#This Row],[Performance Rating]]&gt;=4, EmployeeTable3[[#This Row],[Bonus]]&gt;=0.1),"Eligible","Not Eligible")</f>
        <v>Eligible</v>
      </c>
      <c r="AA59" s="53">
        <f t="shared" ca="1" si="4"/>
        <v>11</v>
      </c>
      <c r="AB59" s="62">
        <f>PMT((EmployeeTable3[[#This Row],[Interest Rate %]]/100)/12,EmployeeTable3[[#This Row],[Loan Term (Months)]],-EmployeeTable3[[#This Row],[Loan Amount]])</f>
        <v>900.69075646954366</v>
      </c>
    </row>
    <row r="60" spans="1:28" ht="17.25" x14ac:dyDescent="0.3">
      <c r="A60" s="41">
        <v>59</v>
      </c>
      <c r="B60" s="48" t="str">
        <f>LOWER(_xlfn.CONCAT(EmployeeTable3[[#This Row],[First Name]],".",EmployeeTable3[[#This Row],[Last Name]],"@company.com"))</f>
        <v>eva.taylor@company.com</v>
      </c>
      <c r="C60" s="42" t="s">
        <v>69</v>
      </c>
      <c r="D60" s="42" t="s">
        <v>78</v>
      </c>
      <c r="E60" s="42" t="s">
        <v>111</v>
      </c>
      <c r="F60" s="50" t="str">
        <f>LEFT(EmployeeTable3[[#This Row],[First Name]],4)</f>
        <v>Eva</v>
      </c>
      <c r="G60" s="42"/>
      <c r="H60" s="42" t="s">
        <v>83</v>
      </c>
      <c r="I60" s="57" t="str">
        <f t="shared" si="3"/>
        <v>323-5665569</v>
      </c>
      <c r="J60" s="43" t="s">
        <v>84</v>
      </c>
      <c r="K60" s="44" t="s">
        <v>150</v>
      </c>
      <c r="L60" s="52" t="str">
        <f>TEXT(EmployeeTable3[[#This Row],[Joining Date]],"MM-DD-YYYY")</f>
        <v>02-06-2017</v>
      </c>
      <c r="M60" s="45">
        <v>105702</v>
      </c>
      <c r="N60" s="81" t="s">
        <v>120</v>
      </c>
      <c r="O60" s="42" t="s">
        <v>30</v>
      </c>
      <c r="P60" s="42">
        <v>4.3</v>
      </c>
      <c r="Q60" s="53" t="str">
        <f>IF(EmployeeTable3[[#This Row],[Performance Rating]]&gt;=_xlfn.PERCENTILE.INC(EmployeeTable3[Performance Rating],0.9),"Top 10%","Not Top 10%")</f>
        <v>Not Top 10%</v>
      </c>
      <c r="R60" s="46">
        <v>11692</v>
      </c>
      <c r="S60" s="46">
        <v>64384</v>
      </c>
      <c r="T60" s="42">
        <v>6.41</v>
      </c>
      <c r="U60" s="42">
        <v>23</v>
      </c>
      <c r="V60" s="62">
        <f>NPV(0.05,EmployeeTable3[[#This Row],[Monthly Sales]])</f>
        <v>11135.238095238095</v>
      </c>
      <c r="W60" s="42" t="s">
        <v>98</v>
      </c>
      <c r="X60" s="53" t="str">
        <f t="shared" si="1"/>
        <v>S</v>
      </c>
      <c r="Y60" s="50" t="str">
        <f>_xlfn.CONCAT(EmployeeTable3[[#This Row],[Region Code]],EmployeeTable3[[#This Row],[Employee ID]],EmployeeTable3[[#This Row],[First Name]],EmployeeTable3[[#This Row],[Last Name]])</f>
        <v>S59EvaTaylor</v>
      </c>
      <c r="Z60" s="55" t="str">
        <f>IF(AND(EmployeeTable3[[#This Row],[Performance Rating]]&gt;=4, EmployeeTable3[[#This Row],[Bonus]]&gt;=0.1),"Eligible","Not Eligible")</f>
        <v>Eligible</v>
      </c>
      <c r="AA60" s="53">
        <f t="shared" ca="1" si="4"/>
        <v>9</v>
      </c>
      <c r="AB60" s="62">
        <f>PMT((EmployeeTable3[[#This Row],[Interest Rate %]]/100)/12,EmployeeTable3[[#This Row],[Loan Term (Months)]],-EmployeeTable3[[#This Row],[Loan Amount]])</f>
        <v>2982.2439667480444</v>
      </c>
    </row>
    <row r="61" spans="1:28" ht="17.25" x14ac:dyDescent="0.3">
      <c r="A61" s="41">
        <v>60</v>
      </c>
      <c r="B61" s="48" t="str">
        <f>LOWER(_xlfn.CONCAT(EmployeeTable3[[#This Row],[First Name]],".",EmployeeTable3[[#This Row],[Last Name]],"@company.com"))</f>
        <v>jack.green@company.com</v>
      </c>
      <c r="C61" s="42" t="s">
        <v>23</v>
      </c>
      <c r="D61" s="42" t="s">
        <v>93</v>
      </c>
      <c r="E61" s="42" t="s">
        <v>49</v>
      </c>
      <c r="F61" s="50" t="str">
        <f>LEFT(EmployeeTable3[[#This Row],[First Name]],4)</f>
        <v>Jack</v>
      </c>
      <c r="G61" s="42"/>
      <c r="H61" s="42" t="s">
        <v>26</v>
      </c>
      <c r="I61" s="57" t="str">
        <f t="shared" si="3"/>
        <v>323-6998874</v>
      </c>
      <c r="J61" s="43" t="s">
        <v>27</v>
      </c>
      <c r="K61" s="44" t="s">
        <v>151</v>
      </c>
      <c r="L61" s="52" t="str">
        <f>TEXT(EmployeeTable3[[#This Row],[Joining Date]],"MM-DD-YYYY")</f>
        <v>04-06-2017</v>
      </c>
      <c r="M61" s="45">
        <v>110550</v>
      </c>
      <c r="N61" s="81" t="s">
        <v>61</v>
      </c>
      <c r="O61" s="42" t="s">
        <v>54</v>
      </c>
      <c r="P61" s="42">
        <v>3.2</v>
      </c>
      <c r="Q61" s="53" t="str">
        <f>IF(EmployeeTable3[[#This Row],[Performance Rating]]&gt;=_xlfn.PERCENTILE.INC(EmployeeTable3[Performance Rating],0.9),"Top 10%","Not Top 10%")</f>
        <v>Not Top 10%</v>
      </c>
      <c r="R61" s="46">
        <v>11762</v>
      </c>
      <c r="S61" s="46">
        <v>59811</v>
      </c>
      <c r="T61" s="42">
        <v>7.96</v>
      </c>
      <c r="U61" s="42">
        <v>48</v>
      </c>
      <c r="V61" s="62">
        <f>NPV(0.05,EmployeeTable3[[#This Row],[Monthly Sales]])</f>
        <v>11201.904761904761</v>
      </c>
      <c r="W61" s="42" t="s">
        <v>98</v>
      </c>
      <c r="X61" s="53" t="str">
        <f t="shared" si="1"/>
        <v>N</v>
      </c>
      <c r="Y61" s="50" t="str">
        <f>_xlfn.CONCAT(EmployeeTable3[[#This Row],[Region Code]],EmployeeTable3[[#This Row],[Employee ID]],EmployeeTable3[[#This Row],[First Name]],EmployeeTable3[[#This Row],[Last Name]])</f>
        <v>N60JackGreen</v>
      </c>
      <c r="Z61" s="55" t="str">
        <f>IF(AND(EmployeeTable3[[#This Row],[Performance Rating]]&gt;=4, EmployeeTable3[[#This Row],[Bonus]]&gt;=0.1),"Eligible","Not Eligible")</f>
        <v>Not Eligible</v>
      </c>
      <c r="AA61" s="53">
        <f t="shared" ca="1" si="4"/>
        <v>9</v>
      </c>
      <c r="AB61" s="62">
        <f>PMT((EmployeeTable3[[#This Row],[Interest Rate %]]/100)/12,EmployeeTable3[[#This Row],[Loan Term (Months)]],-EmployeeTable3[[#This Row],[Loan Amount]])</f>
        <v>1459.0385418153455</v>
      </c>
    </row>
    <row r="62" spans="1:28" ht="17.25" x14ac:dyDescent="0.3">
      <c r="A62" s="41">
        <v>61</v>
      </c>
      <c r="B62" s="48" t="str">
        <f>LOWER(_xlfn.CONCAT(EmployeeTable3[[#This Row],[First Name]],".",EmployeeTable3[[#This Row],[Last Name]],"@company.com"))</f>
        <v>jack.miller@company.com</v>
      </c>
      <c r="C62" s="42" t="s">
        <v>55</v>
      </c>
      <c r="D62" s="42" t="s">
        <v>93</v>
      </c>
      <c r="E62" s="42" t="s">
        <v>33</v>
      </c>
      <c r="F62" s="50" t="str">
        <f>LEFT(EmployeeTable3[[#This Row],[First Name]],4)</f>
        <v>Jack</v>
      </c>
      <c r="G62" s="42"/>
      <c r="H62" s="42" t="s">
        <v>58</v>
      </c>
      <c r="I62" s="57" t="str">
        <f t="shared" si="3"/>
        <v>323-8552214</v>
      </c>
      <c r="J62" s="43" t="s">
        <v>59</v>
      </c>
      <c r="K62" s="44" t="s">
        <v>152</v>
      </c>
      <c r="L62" s="52" t="str">
        <f>TEXT(EmployeeTable3[[#This Row],[Joining Date]],"MM-DD-YYYY")</f>
        <v>08-17-2021</v>
      </c>
      <c r="M62" s="45">
        <v>42009</v>
      </c>
      <c r="N62" s="81" t="s">
        <v>61</v>
      </c>
      <c r="O62" s="42" t="s">
        <v>62</v>
      </c>
      <c r="P62" s="42">
        <v>4.2</v>
      </c>
      <c r="Q62" s="53" t="str">
        <f>IF(EmployeeTable3[[#This Row],[Performance Rating]]&gt;=_xlfn.PERCENTILE.INC(EmployeeTable3[Performance Rating],0.9),"Top 10%","Not Top 10%")</f>
        <v>Not Top 10%</v>
      </c>
      <c r="R62" s="46">
        <v>12233</v>
      </c>
      <c r="S62" s="46">
        <v>40080</v>
      </c>
      <c r="T62" s="42">
        <v>6.14</v>
      </c>
      <c r="U62" s="42">
        <v>58</v>
      </c>
      <c r="V62" s="62">
        <f>NPV(0.05,EmployeeTable3[[#This Row],[Monthly Sales]])</f>
        <v>11650.476190476191</v>
      </c>
      <c r="W62" s="42" t="s">
        <v>46</v>
      </c>
      <c r="X62" s="53" t="str">
        <f t="shared" si="1"/>
        <v>E</v>
      </c>
      <c r="Y62" s="50" t="str">
        <f>_xlfn.CONCAT(EmployeeTable3[[#This Row],[Region Code]],EmployeeTable3[[#This Row],[Employee ID]],EmployeeTable3[[#This Row],[First Name]],EmployeeTable3[[#This Row],[Last Name]])</f>
        <v>E61JackMiller</v>
      </c>
      <c r="Z62" s="55" t="str">
        <f>IF(AND(EmployeeTable3[[#This Row],[Performance Rating]]&gt;=4, EmployeeTable3[[#This Row],[Bonus]]&gt;=0.1),"Eligible","Not Eligible")</f>
        <v>Eligible</v>
      </c>
      <c r="AA62" s="53">
        <f t="shared" ca="1" si="4"/>
        <v>4</v>
      </c>
      <c r="AB62" s="62">
        <f>PMT((EmployeeTable3[[#This Row],[Interest Rate %]]/100)/12,EmployeeTable3[[#This Row],[Loan Term (Months)]],-EmployeeTable3[[#This Row],[Loan Amount]])</f>
        <v>800.39021588774006</v>
      </c>
    </row>
    <row r="63" spans="1:28" ht="17.25" x14ac:dyDescent="0.3">
      <c r="A63" s="41">
        <v>62</v>
      </c>
      <c r="B63" s="48" t="str">
        <f>LOWER(_xlfn.CONCAT(EmployeeTable3[[#This Row],[First Name]],".",EmployeeTable3[[#This Row],[Last Name]],"@company.com"))</f>
        <v>david.green@company.com</v>
      </c>
      <c r="C63" s="42" t="s">
        <v>69</v>
      </c>
      <c r="D63" s="42" t="s">
        <v>32</v>
      </c>
      <c r="E63" s="42" t="s">
        <v>49</v>
      </c>
      <c r="F63" s="50" t="str">
        <f>LEFT(EmployeeTable3[[#This Row],[First Name]],4)</f>
        <v>Davi</v>
      </c>
      <c r="G63" s="42"/>
      <c r="H63" s="42" t="s">
        <v>50</v>
      </c>
      <c r="I63" s="57" t="str">
        <f t="shared" si="3"/>
        <v>323-6554412</v>
      </c>
      <c r="J63" s="43" t="s">
        <v>51</v>
      </c>
      <c r="K63" s="44" t="s">
        <v>153</v>
      </c>
      <c r="L63" s="52" t="str">
        <f>TEXT(EmployeeTable3[[#This Row],[Joining Date]],"MM-DD-YYYY")</f>
        <v>02-14-2019</v>
      </c>
      <c r="M63" s="45">
        <v>47202</v>
      </c>
      <c r="N63" s="81" t="s">
        <v>120</v>
      </c>
      <c r="O63" s="42" t="s">
        <v>38</v>
      </c>
      <c r="P63" s="42">
        <v>4.8</v>
      </c>
      <c r="Q63" s="53" t="str">
        <f>IF(EmployeeTable3[[#This Row],[Performance Rating]]&gt;=_xlfn.PERCENTILE.INC(EmployeeTable3[Performance Rating],0.9),"Top 10%","Not Top 10%")</f>
        <v>Not Top 10%</v>
      </c>
      <c r="R63" s="46">
        <v>12253</v>
      </c>
      <c r="S63" s="46">
        <v>54262</v>
      </c>
      <c r="T63" s="42">
        <v>5.14</v>
      </c>
      <c r="U63" s="42">
        <v>43</v>
      </c>
      <c r="V63" s="62">
        <f>NPV(0.05,EmployeeTable3[[#This Row],[Monthly Sales]])</f>
        <v>11669.523809523809</v>
      </c>
      <c r="W63" s="42" t="s">
        <v>39</v>
      </c>
      <c r="X63" s="53" t="str">
        <f t="shared" si="1"/>
        <v>W</v>
      </c>
      <c r="Y63" s="50" t="str">
        <f>_xlfn.CONCAT(EmployeeTable3[[#This Row],[Region Code]],EmployeeTable3[[#This Row],[Employee ID]],EmployeeTable3[[#This Row],[First Name]],EmployeeTable3[[#This Row],[Last Name]])</f>
        <v>W62DavidGreen</v>
      </c>
      <c r="Z63" s="55" t="str">
        <f>IF(AND(EmployeeTable3[[#This Row],[Performance Rating]]&gt;=4, EmployeeTable3[[#This Row],[Bonus]]&gt;=0.1),"Eligible","Not Eligible")</f>
        <v>Eligible</v>
      </c>
      <c r="AA63" s="53">
        <f t="shared" ca="1" si="4"/>
        <v>7</v>
      </c>
      <c r="AB63" s="62">
        <f>PMT((EmployeeTable3[[#This Row],[Interest Rate %]]/100)/12,EmployeeTable3[[#This Row],[Loan Term (Months)]],-EmployeeTable3[[#This Row],[Loan Amount]])</f>
        <v>1384.3764899727139</v>
      </c>
    </row>
    <row r="64" spans="1:28" ht="17.25" x14ac:dyDescent="0.3">
      <c r="A64" s="41">
        <v>63</v>
      </c>
      <c r="B64" s="48" t="str">
        <f>LOWER(_xlfn.CONCAT(EmployeeTable3[[#This Row],[First Name]],".",EmployeeTable3[[#This Row],[Last Name]],"@company.com"))</f>
        <v>carol.taylor@company.com</v>
      </c>
      <c r="C64" s="42" t="s">
        <v>40</v>
      </c>
      <c r="D64" s="42" t="s">
        <v>66</v>
      </c>
      <c r="E64" s="42" t="s">
        <v>111</v>
      </c>
      <c r="F64" s="50" t="str">
        <f>LEFT(EmployeeTable3[[#This Row],[First Name]],4)</f>
        <v>Caro</v>
      </c>
      <c r="G64" s="42"/>
      <c r="H64" s="42" t="s">
        <v>58</v>
      </c>
      <c r="I64" s="57" t="str">
        <f t="shared" si="3"/>
        <v>323-8552214</v>
      </c>
      <c r="J64" s="43" t="s">
        <v>59</v>
      </c>
      <c r="K64" s="44" t="s">
        <v>154</v>
      </c>
      <c r="L64" s="52" t="str">
        <f>TEXT(EmployeeTable3[[#This Row],[Joining Date]],"MM-DD-YYYY")</f>
        <v>03-01-2015</v>
      </c>
      <c r="M64" s="45">
        <v>64148</v>
      </c>
      <c r="N64" s="81" t="s">
        <v>89</v>
      </c>
      <c r="O64" s="42" t="s">
        <v>54</v>
      </c>
      <c r="P64" s="42">
        <v>5</v>
      </c>
      <c r="Q64" s="53" t="str">
        <f>IF(EmployeeTable3[[#This Row],[Performance Rating]]&gt;=_xlfn.PERCENTILE.INC(EmployeeTable3[Performance Rating],0.9),"Top 10%","Not Top 10%")</f>
        <v>Top 10%</v>
      </c>
      <c r="R64" s="46">
        <v>12555</v>
      </c>
      <c r="S64" s="46">
        <v>31976</v>
      </c>
      <c r="T64" s="42">
        <v>4.99</v>
      </c>
      <c r="U64" s="42">
        <v>56</v>
      </c>
      <c r="V64" s="62">
        <f>NPV(0.05,EmployeeTable3[[#This Row],[Monthly Sales]])</f>
        <v>11957.142857142857</v>
      </c>
      <c r="W64" s="42" t="s">
        <v>63</v>
      </c>
      <c r="X64" s="53" t="str">
        <f t="shared" si="1"/>
        <v>N</v>
      </c>
      <c r="Y64" s="50" t="str">
        <f>_xlfn.CONCAT(EmployeeTable3[[#This Row],[Region Code]],EmployeeTable3[[#This Row],[Employee ID]],EmployeeTable3[[#This Row],[First Name]],EmployeeTable3[[#This Row],[Last Name]])</f>
        <v>N63CarolTaylor</v>
      </c>
      <c r="Z64" s="55" t="str">
        <f>IF(AND(EmployeeTable3[[#This Row],[Performance Rating]]&gt;=4, EmployeeTable3[[#This Row],[Bonus]]&gt;=0.1),"Eligible","Not Eligible")</f>
        <v>Eligible</v>
      </c>
      <c r="AA64" s="53">
        <f t="shared" ca="1" si="4"/>
        <v>11</v>
      </c>
      <c r="AB64" s="62">
        <f>PMT((EmployeeTable3[[#This Row],[Interest Rate %]]/100)/12,EmployeeTable3[[#This Row],[Loan Term (Months)]],-EmployeeTable3[[#This Row],[Loan Amount]])</f>
        <v>641.24244771512872</v>
      </c>
    </row>
    <row r="65" spans="1:28" ht="17.25" x14ac:dyDescent="0.3">
      <c r="A65" s="41">
        <v>64</v>
      </c>
      <c r="B65" s="48" t="str">
        <f>LOWER(_xlfn.CONCAT(EmployeeTable3[[#This Row],[First Name]],".",EmployeeTable3[[#This Row],[Last Name]],"@company.com"))</f>
        <v>david.smith@company.com</v>
      </c>
      <c r="C65" s="42" t="s">
        <v>55</v>
      </c>
      <c r="D65" s="42" t="s">
        <v>32</v>
      </c>
      <c r="E65" s="42" t="s">
        <v>71</v>
      </c>
      <c r="F65" s="50" t="str">
        <f>LEFT(EmployeeTable3[[#This Row],[First Name]],4)</f>
        <v>Davi</v>
      </c>
      <c r="G65" s="42"/>
      <c r="H65" s="42" t="s">
        <v>101</v>
      </c>
      <c r="I65" s="57" t="str">
        <f t="shared" si="3"/>
        <v>323-5857874</v>
      </c>
      <c r="J65" s="43" t="s">
        <v>102</v>
      </c>
      <c r="K65" s="44" t="s">
        <v>155</v>
      </c>
      <c r="L65" s="52" t="str">
        <f>TEXT(EmployeeTable3[[#This Row],[Joining Date]],"MM-DD-YYYY")</f>
        <v>05-09-2022</v>
      </c>
      <c r="M65" s="45">
        <v>41183</v>
      </c>
      <c r="N65" s="81" t="s">
        <v>45</v>
      </c>
      <c r="O65" s="42" t="s">
        <v>62</v>
      </c>
      <c r="P65" s="42">
        <v>3.2</v>
      </c>
      <c r="Q65" s="53" t="str">
        <f>IF(EmployeeTable3[[#This Row],[Performance Rating]]&gt;=_xlfn.PERCENTILE.INC(EmployeeTable3[Performance Rating],0.9),"Top 10%","Not Top 10%")</f>
        <v>Not Top 10%</v>
      </c>
      <c r="R65" s="46">
        <v>12627</v>
      </c>
      <c r="S65" s="46">
        <v>85766</v>
      </c>
      <c r="T65" s="42">
        <v>9.58</v>
      </c>
      <c r="U65" s="42">
        <v>15</v>
      </c>
      <c r="V65" s="62">
        <f>NPV(0.05,EmployeeTable3[[#This Row],[Monthly Sales]])</f>
        <v>12025.714285714284</v>
      </c>
      <c r="W65" s="42" t="s">
        <v>63</v>
      </c>
      <c r="X65" s="53" t="str">
        <f t="shared" si="1"/>
        <v>E</v>
      </c>
      <c r="Y65" s="50" t="str">
        <f>_xlfn.CONCAT(EmployeeTable3[[#This Row],[Region Code]],EmployeeTable3[[#This Row],[Employee ID]],EmployeeTable3[[#This Row],[First Name]],EmployeeTable3[[#This Row],[Last Name]])</f>
        <v>E64DavidSmith</v>
      </c>
      <c r="Z65" s="55" t="str">
        <f>IF(AND(EmployeeTable3[[#This Row],[Performance Rating]]&gt;=4, EmployeeTable3[[#This Row],[Bonus]]&gt;=0.1),"Eligible","Not Eligible")</f>
        <v>Not Eligible</v>
      </c>
      <c r="AA65" s="53">
        <f t="shared" ca="1" si="4"/>
        <v>4</v>
      </c>
      <c r="AB65" s="62">
        <f>PMT((EmployeeTable3[[#This Row],[Interest Rate %]]/100)/12,EmployeeTable3[[#This Row],[Loan Term (Months)]],-EmployeeTable3[[#This Row],[Loan Amount]])</f>
        <v>6089.6796335372273</v>
      </c>
    </row>
    <row r="66" spans="1:28" ht="17.25" x14ac:dyDescent="0.3">
      <c r="A66" s="41">
        <v>65</v>
      </c>
      <c r="B66" s="48" t="str">
        <f>LOWER(_xlfn.CONCAT(EmployeeTable3[[#This Row],[First Name]],".",EmployeeTable3[[#This Row],[Last Name]],"@company.com"))</f>
        <v>grace.miller@company.com</v>
      </c>
      <c r="C66" s="42" t="s">
        <v>40</v>
      </c>
      <c r="D66" s="42" t="s">
        <v>64</v>
      </c>
      <c r="E66" s="42" t="s">
        <v>33</v>
      </c>
      <c r="F66" s="50" t="str">
        <f>LEFT(EmployeeTable3[[#This Row],[First Name]],4)</f>
        <v>Grac</v>
      </c>
      <c r="G66" s="42"/>
      <c r="H66" s="42" t="s">
        <v>50</v>
      </c>
      <c r="I66" s="57" t="str">
        <f t="shared" ref="I66:I97" si="5">REPLACE(H66,1,3,"323")</f>
        <v>323-6554412</v>
      </c>
      <c r="J66" s="43" t="s">
        <v>51</v>
      </c>
      <c r="K66" s="44" t="s">
        <v>156</v>
      </c>
      <c r="L66" s="52" t="str">
        <f>TEXT(EmployeeTable3[[#This Row],[Joining Date]],"MM-DD-YYYY")</f>
        <v>04-17-2016</v>
      </c>
      <c r="M66" s="45">
        <v>54661</v>
      </c>
      <c r="N66" s="81" t="s">
        <v>91</v>
      </c>
      <c r="O66" s="42" t="s">
        <v>38</v>
      </c>
      <c r="P66" s="42">
        <v>3.4</v>
      </c>
      <c r="Q66" s="53" t="str">
        <f>IF(EmployeeTable3[[#This Row],[Performance Rating]]&gt;=_xlfn.PERCENTILE.INC(EmployeeTable3[Performance Rating],0.9),"Top 10%","Not Top 10%")</f>
        <v>Not Top 10%</v>
      </c>
      <c r="R66" s="46">
        <v>12805</v>
      </c>
      <c r="S66" s="46">
        <v>83530</v>
      </c>
      <c r="T66" s="42">
        <v>4.75</v>
      </c>
      <c r="U66" s="42">
        <v>37</v>
      </c>
      <c r="V66" s="62">
        <f>NPV(0.05,EmployeeTable3[[#This Row],[Monthly Sales]])</f>
        <v>12195.238095238095</v>
      </c>
      <c r="W66" s="42" t="s">
        <v>100</v>
      </c>
      <c r="X66" s="53" t="str">
        <f t="shared" ref="X66:X101" si="6">SUBSTITUTE(SUBSTITUTE(SUBSTITUTE(SUBSTITUTE(O66,"North","N"),"East","E"),"South","S"),"West","W")</f>
        <v>W</v>
      </c>
      <c r="Y66" s="50" t="str">
        <f>_xlfn.CONCAT(EmployeeTable3[[#This Row],[Region Code]],EmployeeTable3[[#This Row],[Employee ID]],EmployeeTable3[[#This Row],[First Name]],EmployeeTable3[[#This Row],[Last Name]])</f>
        <v>W65GraceMiller</v>
      </c>
      <c r="Z66" s="55" t="str">
        <f>IF(AND(EmployeeTable3[[#This Row],[Performance Rating]]&gt;=4, EmployeeTable3[[#This Row],[Bonus]]&gt;=0.1),"Eligible","Not Eligible")</f>
        <v>Not Eligible</v>
      </c>
      <c r="AA66" s="53">
        <f t="shared" ref="AA66:AA101" ca="1" si="7">DATEDIF(K66,TODAY(),"Y")</f>
        <v>10</v>
      </c>
      <c r="AB66" s="62">
        <f>PMT((EmployeeTable3[[#This Row],[Interest Rate %]]/100)/12,EmployeeTable3[[#This Row],[Loan Term (Months)]],-EmployeeTable3[[#This Row],[Loan Amount]])</f>
        <v>2431.3785308749952</v>
      </c>
    </row>
    <row r="67" spans="1:28" ht="17.25" x14ac:dyDescent="0.3">
      <c r="A67" s="41">
        <v>66</v>
      </c>
      <c r="B67" s="48" t="str">
        <f>LOWER(_xlfn.CONCAT(EmployeeTable3[[#This Row],[First Name]],".",EmployeeTable3[[#This Row],[Last Name]],"@company.com"))</f>
        <v>isla.adams@company.com</v>
      </c>
      <c r="C67" s="42" t="s">
        <v>40</v>
      </c>
      <c r="D67" s="42" t="s">
        <v>87</v>
      </c>
      <c r="E67" s="42" t="s">
        <v>108</v>
      </c>
      <c r="F67" s="50" t="str">
        <f>LEFT(EmployeeTable3[[#This Row],[First Name]],4)</f>
        <v>Isla</v>
      </c>
      <c r="G67" s="42"/>
      <c r="H67" s="42" t="s">
        <v>42</v>
      </c>
      <c r="I67" s="57" t="str">
        <f t="shared" si="5"/>
        <v>323-5699987</v>
      </c>
      <c r="J67" s="43" t="s">
        <v>43</v>
      </c>
      <c r="K67" s="44" t="s">
        <v>157</v>
      </c>
      <c r="L67" s="52" t="str">
        <f>TEXT(EmployeeTable3[[#This Row],[Joining Date]],"MM-DD-YYYY")</f>
        <v>09-11-2016</v>
      </c>
      <c r="M67" s="45">
        <v>92495</v>
      </c>
      <c r="N67" s="81" t="s">
        <v>68</v>
      </c>
      <c r="O67" s="42" t="s">
        <v>62</v>
      </c>
      <c r="P67" s="42">
        <v>4.0999999999999996</v>
      </c>
      <c r="Q67" s="53" t="str">
        <f>IF(EmployeeTable3[[#This Row],[Performance Rating]]&gt;=_xlfn.PERCENTILE.INC(EmployeeTable3[Performance Rating],0.9),"Top 10%","Not Top 10%")</f>
        <v>Not Top 10%</v>
      </c>
      <c r="R67" s="46">
        <v>12965</v>
      </c>
      <c r="S67" s="46">
        <v>25708</v>
      </c>
      <c r="T67" s="42">
        <v>3.96</v>
      </c>
      <c r="U67" s="42">
        <v>41</v>
      </c>
      <c r="V67" s="62">
        <f>NPV(0.05,EmployeeTable3[[#This Row],[Monthly Sales]])</f>
        <v>12347.619047619048</v>
      </c>
      <c r="W67" s="42" t="s">
        <v>92</v>
      </c>
      <c r="X67" s="53" t="str">
        <f t="shared" si="6"/>
        <v>E</v>
      </c>
      <c r="Y67" s="50" t="str">
        <f>_xlfn.CONCAT(EmployeeTable3[[#This Row],[Region Code]],EmployeeTable3[[#This Row],[Employee ID]],EmployeeTable3[[#This Row],[First Name]],EmployeeTable3[[#This Row],[Last Name]])</f>
        <v>E66IslaAdams</v>
      </c>
      <c r="Z67" s="55" t="str">
        <f>IF(AND(EmployeeTable3[[#This Row],[Performance Rating]]&gt;=4, EmployeeTable3[[#This Row],[Bonus]]&gt;=0.1),"Eligible","Not Eligible")</f>
        <v>Eligible</v>
      </c>
      <c r="AA67" s="53">
        <f t="shared" ca="1" si="7"/>
        <v>9</v>
      </c>
      <c r="AB67" s="62">
        <f>PMT((EmployeeTable3[[#This Row],[Interest Rate %]]/100)/12,EmployeeTable3[[#This Row],[Loan Term (Months)]],-EmployeeTable3[[#This Row],[Loan Amount]])</f>
        <v>671.43127772485832</v>
      </c>
    </row>
    <row r="68" spans="1:28" ht="17.25" x14ac:dyDescent="0.3">
      <c r="A68" s="41">
        <v>67</v>
      </c>
      <c r="B68" s="48" t="str">
        <f>LOWER(_xlfn.CONCAT(EmployeeTable3[[#This Row],[First Name]],".",EmployeeTable3[[#This Row],[Last Name]],"@company.com"))</f>
        <v>carol.johnson@company.com</v>
      </c>
      <c r="C68" s="42" t="s">
        <v>69</v>
      </c>
      <c r="D68" s="42" t="s">
        <v>66</v>
      </c>
      <c r="E68" s="42" t="s">
        <v>73</v>
      </c>
      <c r="F68" s="50" t="str">
        <f>LEFT(EmployeeTable3[[#This Row],[First Name]],4)</f>
        <v>Caro</v>
      </c>
      <c r="G68" s="42"/>
      <c r="H68" s="42" t="s">
        <v>83</v>
      </c>
      <c r="I68" s="57" t="str">
        <f t="shared" si="5"/>
        <v>323-5665569</v>
      </c>
      <c r="J68" s="43" t="s">
        <v>84</v>
      </c>
      <c r="K68" s="44" t="s">
        <v>158</v>
      </c>
      <c r="L68" s="52" t="str">
        <f>TEXT(EmployeeTable3[[#This Row],[Joining Date]],"MM-DD-YYYY")</f>
        <v>10-26-2020</v>
      </c>
      <c r="M68" s="45">
        <v>94129</v>
      </c>
      <c r="N68" s="81" t="s">
        <v>120</v>
      </c>
      <c r="O68" s="42" t="s">
        <v>54</v>
      </c>
      <c r="P68" s="42">
        <v>4.5999999999999996</v>
      </c>
      <c r="Q68" s="53" t="str">
        <f>IF(EmployeeTable3[[#This Row],[Performance Rating]]&gt;=_xlfn.PERCENTILE.INC(EmployeeTable3[Performance Rating],0.9),"Top 10%","Not Top 10%")</f>
        <v>Not Top 10%</v>
      </c>
      <c r="R68" s="46">
        <v>13016</v>
      </c>
      <c r="S68" s="46">
        <v>76842</v>
      </c>
      <c r="T68" s="42">
        <v>9.9600000000000009</v>
      </c>
      <c r="U68" s="42">
        <v>46</v>
      </c>
      <c r="V68" s="62">
        <f>NPV(0.05,EmployeeTable3[[#This Row],[Monthly Sales]])</f>
        <v>12396.190476190475</v>
      </c>
      <c r="W68" s="42" t="s">
        <v>46</v>
      </c>
      <c r="X68" s="53" t="str">
        <f t="shared" si="6"/>
        <v>N</v>
      </c>
      <c r="Y68" s="50" t="str">
        <f>_xlfn.CONCAT(EmployeeTable3[[#This Row],[Region Code]],EmployeeTable3[[#This Row],[Employee ID]],EmployeeTable3[[#This Row],[First Name]],EmployeeTable3[[#This Row],[Last Name]])</f>
        <v>N67CarolJohnson</v>
      </c>
      <c r="Z68" s="55" t="str">
        <f>IF(AND(EmployeeTable3[[#This Row],[Performance Rating]]&gt;=4, EmployeeTable3[[#This Row],[Bonus]]&gt;=0.1),"Eligible","Not Eligible")</f>
        <v>Eligible</v>
      </c>
      <c r="AA68" s="53">
        <f t="shared" ca="1" si="7"/>
        <v>5</v>
      </c>
      <c r="AB68" s="62">
        <f>PMT((EmployeeTable3[[#This Row],[Interest Rate %]]/100)/12,EmployeeTable3[[#This Row],[Loan Term (Months)]],-EmployeeTable3[[#This Row],[Loan Amount]])</f>
        <v>2016.4555269425928</v>
      </c>
    </row>
    <row r="69" spans="1:28" ht="17.25" x14ac:dyDescent="0.3">
      <c r="A69" s="41">
        <v>68</v>
      </c>
      <c r="B69" s="48" t="str">
        <f>LOWER(_xlfn.CONCAT(EmployeeTable3[[#This Row],[First Name]],".",EmployeeTable3[[#This Row],[Last Name]],"@company.com"))</f>
        <v>jack.johnson@company.com</v>
      </c>
      <c r="C69" s="42" t="s">
        <v>55</v>
      </c>
      <c r="D69" s="42" t="s">
        <v>93</v>
      </c>
      <c r="E69" s="42" t="s">
        <v>73</v>
      </c>
      <c r="F69" s="50" t="str">
        <f>LEFT(EmployeeTable3[[#This Row],[First Name]],4)</f>
        <v>Jack</v>
      </c>
      <c r="G69" s="42"/>
      <c r="H69" s="42" t="s">
        <v>34</v>
      </c>
      <c r="I69" s="57" t="str">
        <f t="shared" si="5"/>
        <v>323-9665568</v>
      </c>
      <c r="J69" s="43" t="s">
        <v>35</v>
      </c>
      <c r="K69" s="44" t="s">
        <v>159</v>
      </c>
      <c r="L69" s="52" t="str">
        <f>TEXT(EmployeeTable3[[#This Row],[Joining Date]],"MM-DD-YYYY")</f>
        <v>12-13-2021</v>
      </c>
      <c r="M69" s="45">
        <v>112398</v>
      </c>
      <c r="N69" s="81" t="s">
        <v>61</v>
      </c>
      <c r="O69" s="42" t="s">
        <v>54</v>
      </c>
      <c r="P69" s="42">
        <v>3.6</v>
      </c>
      <c r="Q69" s="53" t="str">
        <f>IF(EmployeeTable3[[#This Row],[Performance Rating]]&gt;=_xlfn.PERCENTILE.INC(EmployeeTable3[Performance Rating],0.9),"Top 10%","Not Top 10%")</f>
        <v>Not Top 10%</v>
      </c>
      <c r="R69" s="46">
        <v>13284</v>
      </c>
      <c r="S69" s="46">
        <v>33419</v>
      </c>
      <c r="T69" s="42">
        <v>8.86</v>
      </c>
      <c r="U69" s="42">
        <v>12</v>
      </c>
      <c r="V69" s="62">
        <f>NPV(0.05,EmployeeTable3[[#This Row],[Monthly Sales]])</f>
        <v>12651.428571428571</v>
      </c>
      <c r="W69" s="42" t="s">
        <v>104</v>
      </c>
      <c r="X69" s="53" t="str">
        <f t="shared" si="6"/>
        <v>N</v>
      </c>
      <c r="Y69" s="50" t="str">
        <f>_xlfn.CONCAT(EmployeeTable3[[#This Row],[Region Code]],EmployeeTable3[[#This Row],[Employee ID]],EmployeeTable3[[#This Row],[First Name]],EmployeeTable3[[#This Row],[Last Name]])</f>
        <v>N68JackJohnson</v>
      </c>
      <c r="Z69" s="55" t="str">
        <f>IF(AND(EmployeeTable3[[#This Row],[Performance Rating]]&gt;=4, EmployeeTable3[[#This Row],[Bonus]]&gt;=0.1),"Eligible","Not Eligible")</f>
        <v>Not Eligible</v>
      </c>
      <c r="AA69" s="53">
        <f t="shared" ca="1" si="7"/>
        <v>4</v>
      </c>
      <c r="AB69" s="62">
        <f>PMT((EmployeeTable3[[#This Row],[Interest Rate %]]/100)/12,EmployeeTable3[[#This Row],[Loan Term (Months)]],-EmployeeTable3[[#This Row],[Loan Amount]])</f>
        <v>2920.3717163529991</v>
      </c>
    </row>
    <row r="70" spans="1:28" ht="17.25" x14ac:dyDescent="0.3">
      <c r="A70" s="41">
        <v>69</v>
      </c>
      <c r="B70" s="48" t="str">
        <f>LOWER(_xlfn.CONCAT(EmployeeTable3[[#This Row],[First Name]],".",EmployeeTable3[[#This Row],[Last Name]],"@company.com"))</f>
        <v>bob.miller@company.com</v>
      </c>
      <c r="C70" s="42" t="s">
        <v>47</v>
      </c>
      <c r="D70" s="42" t="s">
        <v>24</v>
      </c>
      <c r="E70" s="42" t="s">
        <v>33</v>
      </c>
      <c r="F70" s="50" t="str">
        <f>LEFT(EmployeeTable3[[#This Row],[First Name]],4)</f>
        <v>Bob</v>
      </c>
      <c r="G70" s="42"/>
      <c r="H70" s="42" t="s">
        <v>79</v>
      </c>
      <c r="I70" s="57" t="str">
        <f t="shared" si="5"/>
        <v>323-5558898</v>
      </c>
      <c r="J70" s="43" t="s">
        <v>80</v>
      </c>
      <c r="K70" s="44" t="s">
        <v>160</v>
      </c>
      <c r="L70" s="52" t="str">
        <f>TEXT(EmployeeTable3[[#This Row],[Joining Date]],"MM-DD-YYYY")</f>
        <v>01-22-2021</v>
      </c>
      <c r="M70" s="45">
        <v>56097</v>
      </c>
      <c r="N70" s="81" t="s">
        <v>120</v>
      </c>
      <c r="O70" s="42" t="s">
        <v>62</v>
      </c>
      <c r="P70" s="42">
        <v>3.2</v>
      </c>
      <c r="Q70" s="53" t="str">
        <f>IF(EmployeeTable3[[#This Row],[Performance Rating]]&gt;=_xlfn.PERCENTILE.INC(EmployeeTable3[Performance Rating],0.9),"Top 10%","Not Top 10%")</f>
        <v>Not Top 10%</v>
      </c>
      <c r="R70" s="46">
        <v>13363</v>
      </c>
      <c r="S70" s="46">
        <v>28141</v>
      </c>
      <c r="T70" s="42">
        <v>7.87</v>
      </c>
      <c r="U70" s="42">
        <v>23</v>
      </c>
      <c r="V70" s="62">
        <f>NPV(0.05,EmployeeTable3[[#This Row],[Monthly Sales]])</f>
        <v>12726.666666666666</v>
      </c>
      <c r="W70" s="42" t="s">
        <v>75</v>
      </c>
      <c r="X70" s="53" t="str">
        <f t="shared" si="6"/>
        <v>E</v>
      </c>
      <c r="Y70" s="50" t="str">
        <f>_xlfn.CONCAT(EmployeeTable3[[#This Row],[Region Code]],EmployeeTable3[[#This Row],[Employee ID]],EmployeeTable3[[#This Row],[First Name]],EmployeeTable3[[#This Row],[Last Name]])</f>
        <v>E69BobMiller</v>
      </c>
      <c r="Z70" s="55" t="str">
        <f>IF(AND(EmployeeTable3[[#This Row],[Performance Rating]]&gt;=4, EmployeeTable3[[#This Row],[Bonus]]&gt;=0.1),"Eligible","Not Eligible")</f>
        <v>Not Eligible</v>
      </c>
      <c r="AA70" s="53">
        <f t="shared" ca="1" si="7"/>
        <v>5</v>
      </c>
      <c r="AB70" s="62">
        <f>PMT((EmployeeTable3[[#This Row],[Interest Rate %]]/100)/12,EmployeeTable3[[#This Row],[Loan Term (Months)]],-EmployeeTable3[[#This Row],[Loan Amount]])</f>
        <v>1322.1200042544747</v>
      </c>
    </row>
    <row r="71" spans="1:28" ht="17.25" x14ac:dyDescent="0.3">
      <c r="A71" s="41">
        <v>70</v>
      </c>
      <c r="B71" s="48" t="str">
        <f>LOWER(_xlfn.CONCAT(EmployeeTable3[[#This Row],[First Name]],".",EmployeeTable3[[#This Row],[Last Name]],"@company.com"))</f>
        <v>david.lee@company.com</v>
      </c>
      <c r="C71" s="42" t="s">
        <v>23</v>
      </c>
      <c r="D71" s="42" t="s">
        <v>32</v>
      </c>
      <c r="E71" s="42" t="s">
        <v>41</v>
      </c>
      <c r="F71" s="50" t="str">
        <f>LEFT(EmployeeTable3[[#This Row],[First Name]],4)</f>
        <v>Davi</v>
      </c>
      <c r="G71" s="42"/>
      <c r="H71" s="42" t="s">
        <v>42</v>
      </c>
      <c r="I71" s="57" t="str">
        <f t="shared" si="5"/>
        <v>323-5699987</v>
      </c>
      <c r="J71" s="43" t="s">
        <v>43</v>
      </c>
      <c r="K71" s="44" t="s">
        <v>161</v>
      </c>
      <c r="L71" s="52" t="str">
        <f>TEXT(EmployeeTable3[[#This Row],[Joining Date]],"MM-DD-YYYY")</f>
        <v>01-15-2019</v>
      </c>
      <c r="M71" s="45">
        <v>88410</v>
      </c>
      <c r="N71" s="81" t="s">
        <v>61</v>
      </c>
      <c r="O71" s="42" t="s">
        <v>38</v>
      </c>
      <c r="P71" s="42">
        <v>4.9000000000000004</v>
      </c>
      <c r="Q71" s="53" t="str">
        <f>IF(EmployeeTable3[[#This Row],[Performance Rating]]&gt;=_xlfn.PERCENTILE.INC(EmployeeTable3[Performance Rating],0.9),"Top 10%","Not Top 10%")</f>
        <v>Top 10%</v>
      </c>
      <c r="R71" s="46">
        <v>13394</v>
      </c>
      <c r="S71" s="46">
        <v>58925</v>
      </c>
      <c r="T71" s="42">
        <v>9.5500000000000007</v>
      </c>
      <c r="U71" s="42">
        <v>19</v>
      </c>
      <c r="V71" s="62">
        <f>NPV(0.05,EmployeeTable3[[#This Row],[Monthly Sales]])</f>
        <v>12756.190476190475</v>
      </c>
      <c r="W71" s="42" t="s">
        <v>104</v>
      </c>
      <c r="X71" s="53" t="str">
        <f t="shared" si="6"/>
        <v>W</v>
      </c>
      <c r="Y71" s="50" t="str">
        <f>_xlfn.CONCAT(EmployeeTable3[[#This Row],[Region Code]],EmployeeTable3[[#This Row],[Employee ID]],EmployeeTable3[[#This Row],[First Name]],EmployeeTable3[[#This Row],[Last Name]])</f>
        <v>W70DavidLee</v>
      </c>
      <c r="Z71" s="55" t="str">
        <f>IF(AND(EmployeeTable3[[#This Row],[Performance Rating]]&gt;=4, EmployeeTable3[[#This Row],[Bonus]]&gt;=0.1),"Eligible","Not Eligible")</f>
        <v>Eligible</v>
      </c>
      <c r="AA71" s="53">
        <f t="shared" ca="1" si="7"/>
        <v>7</v>
      </c>
      <c r="AB71" s="62">
        <f>PMT((EmployeeTable3[[#This Row],[Interest Rate %]]/100)/12,EmployeeTable3[[#This Row],[Loan Term (Months)]],-EmployeeTable3[[#This Row],[Loan Amount]])</f>
        <v>3353.9959511502843</v>
      </c>
    </row>
    <row r="72" spans="1:28" ht="17.25" x14ac:dyDescent="0.3">
      <c r="A72" s="41">
        <v>71</v>
      </c>
      <c r="B72" s="48" t="str">
        <f>LOWER(_xlfn.CONCAT(EmployeeTable3[[#This Row],[First Name]],".",EmployeeTable3[[#This Row],[Last Name]],"@company.com"))</f>
        <v>isla.brown@company.com</v>
      </c>
      <c r="C72" s="42" t="s">
        <v>23</v>
      </c>
      <c r="D72" s="42" t="s">
        <v>87</v>
      </c>
      <c r="E72" s="42" t="s">
        <v>57</v>
      </c>
      <c r="F72" s="50" t="str">
        <f>LEFT(EmployeeTable3[[#This Row],[First Name]],4)</f>
        <v>Isla</v>
      </c>
      <c r="G72" s="42"/>
      <c r="H72" s="42" t="s">
        <v>101</v>
      </c>
      <c r="I72" s="57" t="str">
        <f t="shared" si="5"/>
        <v>323-5857874</v>
      </c>
      <c r="J72" s="43" t="s">
        <v>102</v>
      </c>
      <c r="K72" s="44" t="s">
        <v>162</v>
      </c>
      <c r="L72" s="52" t="str">
        <f>TEXT(EmployeeTable3[[#This Row],[Joining Date]],"MM-DD-YYYY")</f>
        <v>02-18-2016</v>
      </c>
      <c r="M72" s="45">
        <v>116092</v>
      </c>
      <c r="N72" s="81" t="s">
        <v>37</v>
      </c>
      <c r="O72" s="42" t="s">
        <v>54</v>
      </c>
      <c r="P72" s="42">
        <v>5</v>
      </c>
      <c r="Q72" s="53" t="str">
        <f>IF(EmployeeTable3[[#This Row],[Performance Rating]]&gt;=_xlfn.PERCENTILE.INC(EmployeeTable3[Performance Rating],0.9),"Top 10%","Not Top 10%")</f>
        <v>Top 10%</v>
      </c>
      <c r="R72" s="46">
        <v>13534</v>
      </c>
      <c r="S72" s="46">
        <v>75318</v>
      </c>
      <c r="T72" s="42">
        <v>4.6100000000000003</v>
      </c>
      <c r="U72" s="42">
        <v>36</v>
      </c>
      <c r="V72" s="62">
        <f>NPV(0.05,EmployeeTable3[[#This Row],[Monthly Sales]])</f>
        <v>12889.523809523809</v>
      </c>
      <c r="W72" s="42" t="s">
        <v>39</v>
      </c>
      <c r="X72" s="53" t="str">
        <f t="shared" si="6"/>
        <v>N</v>
      </c>
      <c r="Y72" s="50" t="str">
        <f>_xlfn.CONCAT(EmployeeTable3[[#This Row],[Region Code]],EmployeeTable3[[#This Row],[Employee ID]],EmployeeTable3[[#This Row],[First Name]],EmployeeTable3[[#This Row],[Last Name]])</f>
        <v>N71IslaBrown</v>
      </c>
      <c r="Z72" s="55" t="str">
        <f>IF(AND(EmployeeTable3[[#This Row],[Performance Rating]]&gt;=4, EmployeeTable3[[#This Row],[Bonus]]&gt;=0.1),"Eligible","Not Eligible")</f>
        <v>Eligible</v>
      </c>
      <c r="AA72" s="53">
        <f t="shared" ca="1" si="7"/>
        <v>10</v>
      </c>
      <c r="AB72" s="62">
        <f>PMT((EmployeeTable3[[#This Row],[Interest Rate %]]/100)/12,EmployeeTable3[[#This Row],[Loan Term (Months)]],-EmployeeTable3[[#This Row],[Loan Amount]])</f>
        <v>2244.1834015710519</v>
      </c>
    </row>
    <row r="73" spans="1:28" ht="17.25" x14ac:dyDescent="0.3">
      <c r="A73" s="41">
        <v>72</v>
      </c>
      <c r="B73" s="48" t="str">
        <f>LOWER(_xlfn.CONCAT(EmployeeTable3[[#This Row],[First Name]],".",EmployeeTable3[[#This Row],[Last Name]],"@company.com"))</f>
        <v>alice.davis@company.com</v>
      </c>
      <c r="C73" s="42" t="s">
        <v>55</v>
      </c>
      <c r="D73" s="42" t="s">
        <v>70</v>
      </c>
      <c r="E73" s="42" t="s">
        <v>76</v>
      </c>
      <c r="F73" s="50" t="str">
        <f>LEFT(EmployeeTable3[[#This Row],[First Name]],4)</f>
        <v>Alic</v>
      </c>
      <c r="G73" s="42"/>
      <c r="H73" s="42" t="s">
        <v>101</v>
      </c>
      <c r="I73" s="57" t="str">
        <f t="shared" si="5"/>
        <v>323-5857874</v>
      </c>
      <c r="J73" s="43" t="s">
        <v>102</v>
      </c>
      <c r="K73" s="44" t="s">
        <v>163</v>
      </c>
      <c r="L73" s="52" t="str">
        <f>TEXT(EmployeeTable3[[#This Row],[Joining Date]],"MM-DD-YYYY")</f>
        <v>09-15-2021</v>
      </c>
      <c r="M73" s="45">
        <v>79185</v>
      </c>
      <c r="N73" s="81" t="s">
        <v>68</v>
      </c>
      <c r="O73" s="42" t="s">
        <v>54</v>
      </c>
      <c r="P73" s="42">
        <v>3.4</v>
      </c>
      <c r="Q73" s="53" t="str">
        <f>IF(EmployeeTable3[[#This Row],[Performance Rating]]&gt;=_xlfn.PERCENTILE.INC(EmployeeTable3[Performance Rating],0.9),"Top 10%","Not Top 10%")</f>
        <v>Not Top 10%</v>
      </c>
      <c r="R73" s="46">
        <v>13653</v>
      </c>
      <c r="S73" s="46">
        <v>44766</v>
      </c>
      <c r="T73" s="42">
        <v>7.45</v>
      </c>
      <c r="U73" s="42">
        <v>48</v>
      </c>
      <c r="V73" s="62">
        <f>NPV(0.05,EmployeeTable3[[#This Row],[Monthly Sales]])</f>
        <v>13002.857142857143</v>
      </c>
      <c r="W73" s="42" t="s">
        <v>104</v>
      </c>
      <c r="X73" s="53" t="str">
        <f t="shared" si="6"/>
        <v>N</v>
      </c>
      <c r="Y73" s="50" t="str">
        <f>_xlfn.CONCAT(EmployeeTable3[[#This Row],[Region Code]],EmployeeTable3[[#This Row],[Employee ID]],EmployeeTable3[[#This Row],[First Name]],EmployeeTable3[[#This Row],[Last Name]])</f>
        <v>N72AliceDavis</v>
      </c>
      <c r="Z73" s="55" t="str">
        <f>IF(AND(EmployeeTable3[[#This Row],[Performance Rating]]&gt;=4, EmployeeTable3[[#This Row],[Bonus]]&gt;=0.1),"Eligible","Not Eligible")</f>
        <v>Not Eligible</v>
      </c>
      <c r="AA73" s="53">
        <f t="shared" ca="1" si="7"/>
        <v>4</v>
      </c>
      <c r="AB73" s="62">
        <f>PMT((EmployeeTable3[[#This Row],[Interest Rate %]]/100)/12,EmployeeTable3[[#This Row],[Loan Term (Months)]],-EmployeeTable3[[#This Row],[Loan Amount]])</f>
        <v>1081.3484627861756</v>
      </c>
    </row>
    <row r="74" spans="1:28" ht="17.25" x14ac:dyDescent="0.3">
      <c r="A74" s="41">
        <v>73</v>
      </c>
      <c r="B74" s="48" t="str">
        <f>LOWER(_xlfn.CONCAT(EmployeeTable3[[#This Row],[First Name]],".",EmployeeTable3[[#This Row],[Last Name]],"@company.com"))</f>
        <v>isla.johnson@company.com</v>
      </c>
      <c r="C74" s="42" t="s">
        <v>23</v>
      </c>
      <c r="D74" s="42" t="s">
        <v>87</v>
      </c>
      <c r="E74" s="42" t="s">
        <v>73</v>
      </c>
      <c r="F74" s="50" t="str">
        <f>LEFT(EmployeeTable3[[#This Row],[First Name]],4)</f>
        <v>Isla</v>
      </c>
      <c r="G74" s="42"/>
      <c r="H74" s="42" t="s">
        <v>34</v>
      </c>
      <c r="I74" s="57" t="str">
        <f t="shared" si="5"/>
        <v>323-9665568</v>
      </c>
      <c r="J74" s="43" t="s">
        <v>35</v>
      </c>
      <c r="K74" s="44" t="s">
        <v>164</v>
      </c>
      <c r="L74" s="52" t="str">
        <f>TEXT(EmployeeTable3[[#This Row],[Joining Date]],"MM-DD-YYYY")</f>
        <v>06-27-2015</v>
      </c>
      <c r="M74" s="45">
        <v>47725</v>
      </c>
      <c r="N74" s="81" t="s">
        <v>129</v>
      </c>
      <c r="O74" s="42" t="s">
        <v>38</v>
      </c>
      <c r="P74" s="42">
        <v>3.8</v>
      </c>
      <c r="Q74" s="53" t="str">
        <f>IF(EmployeeTable3[[#This Row],[Performance Rating]]&gt;=_xlfn.PERCENTILE.INC(EmployeeTable3[Performance Rating],0.9),"Top 10%","Not Top 10%")</f>
        <v>Not Top 10%</v>
      </c>
      <c r="R74" s="46">
        <v>13837</v>
      </c>
      <c r="S74" s="46">
        <v>96202</v>
      </c>
      <c r="T74" s="42">
        <v>5.26</v>
      </c>
      <c r="U74" s="42">
        <v>47</v>
      </c>
      <c r="V74" s="62">
        <f>NPV(0.05,EmployeeTable3[[#This Row],[Monthly Sales]])</f>
        <v>13178.095238095237</v>
      </c>
      <c r="W74" s="42" t="s">
        <v>98</v>
      </c>
      <c r="X74" s="53" t="str">
        <f t="shared" si="6"/>
        <v>W</v>
      </c>
      <c r="Y74" s="50" t="str">
        <f>_xlfn.CONCAT(EmployeeTable3[[#This Row],[Region Code]],EmployeeTable3[[#This Row],[Employee ID]],EmployeeTable3[[#This Row],[First Name]],EmployeeTable3[[#This Row],[Last Name]])</f>
        <v>W73IslaJohnson</v>
      </c>
      <c r="Z74" s="55" t="str">
        <f>IF(AND(EmployeeTable3[[#This Row],[Performance Rating]]&gt;=4, EmployeeTable3[[#This Row],[Bonus]]&gt;=0.1),"Eligible","Not Eligible")</f>
        <v>Not Eligible</v>
      </c>
      <c r="AA74" s="53">
        <f t="shared" ca="1" si="7"/>
        <v>10</v>
      </c>
      <c r="AB74" s="62">
        <f>PMT((EmployeeTable3[[#This Row],[Interest Rate %]]/100)/12,EmployeeTable3[[#This Row],[Loan Term (Months)]],-EmployeeTable3[[#This Row],[Loan Amount]])</f>
        <v>2269.3951416863511</v>
      </c>
    </row>
    <row r="75" spans="1:28" ht="17.25" x14ac:dyDescent="0.3">
      <c r="A75" s="41">
        <v>74</v>
      </c>
      <c r="B75" s="48" t="str">
        <f>LOWER(_xlfn.CONCAT(EmployeeTable3[[#This Row],[First Name]],".",EmployeeTable3[[#This Row],[Last Name]],"@company.com"))</f>
        <v>alice.taylor@company.com</v>
      </c>
      <c r="C75" s="42" t="s">
        <v>55</v>
      </c>
      <c r="D75" s="42" t="s">
        <v>70</v>
      </c>
      <c r="E75" s="42" t="s">
        <v>111</v>
      </c>
      <c r="F75" s="50" t="str">
        <f>LEFT(EmployeeTable3[[#This Row],[First Name]],4)</f>
        <v>Alic</v>
      </c>
      <c r="G75" s="42"/>
      <c r="H75" s="42" t="s">
        <v>79</v>
      </c>
      <c r="I75" s="57" t="str">
        <f t="shared" si="5"/>
        <v>323-5558898</v>
      </c>
      <c r="J75" s="43" t="s">
        <v>80</v>
      </c>
      <c r="K75" s="44" t="s">
        <v>165</v>
      </c>
      <c r="L75" s="52" t="str">
        <f>TEXT(EmployeeTable3[[#This Row],[Joining Date]],"MM-DD-YYYY")</f>
        <v>12-28-2017</v>
      </c>
      <c r="M75" s="45">
        <v>94036</v>
      </c>
      <c r="N75" s="81" t="s">
        <v>53</v>
      </c>
      <c r="O75" s="42" t="s">
        <v>38</v>
      </c>
      <c r="P75" s="42">
        <v>3.5</v>
      </c>
      <c r="Q75" s="53" t="str">
        <f>IF(EmployeeTable3[[#This Row],[Performance Rating]]&gt;=_xlfn.PERCENTILE.INC(EmployeeTable3[Performance Rating],0.9),"Top 10%","Not Top 10%")</f>
        <v>Not Top 10%</v>
      </c>
      <c r="R75" s="46">
        <v>13964</v>
      </c>
      <c r="S75" s="46">
        <v>97897</v>
      </c>
      <c r="T75" s="42">
        <v>6.62</v>
      </c>
      <c r="U75" s="42">
        <v>31</v>
      </c>
      <c r="V75" s="62">
        <f>NPV(0.05,EmployeeTable3[[#This Row],[Monthly Sales]])</f>
        <v>13299.047619047618</v>
      </c>
      <c r="W75" s="42" t="s">
        <v>104</v>
      </c>
      <c r="X75" s="53" t="str">
        <f t="shared" si="6"/>
        <v>W</v>
      </c>
      <c r="Y75" s="50" t="str">
        <f>_xlfn.CONCAT(EmployeeTable3[[#This Row],[Region Code]],EmployeeTable3[[#This Row],[Employee ID]],EmployeeTable3[[#This Row],[First Name]],EmployeeTable3[[#This Row],[Last Name]])</f>
        <v>W74AliceTaylor</v>
      </c>
      <c r="Z75" s="55" t="str">
        <f>IF(AND(EmployeeTable3[[#This Row],[Performance Rating]]&gt;=4, EmployeeTable3[[#This Row],[Bonus]]&gt;=0.1),"Eligible","Not Eligible")</f>
        <v>Not Eligible</v>
      </c>
      <c r="AA75" s="53">
        <f t="shared" ca="1" si="7"/>
        <v>8</v>
      </c>
      <c r="AB75" s="62">
        <f>PMT((EmployeeTable3[[#This Row],[Interest Rate %]]/100)/12,EmployeeTable3[[#This Row],[Loan Term (Months)]],-EmployeeTable3[[#This Row],[Loan Amount]])</f>
        <v>3444.3748484129724</v>
      </c>
    </row>
    <row r="76" spans="1:28" ht="17.25" x14ac:dyDescent="0.3">
      <c r="A76" s="41">
        <v>75</v>
      </c>
      <c r="B76" s="48" t="str">
        <f>LOWER(_xlfn.CONCAT(EmployeeTable3[[#This Row],[First Name]],".",EmployeeTable3[[#This Row],[Last Name]],"@company.com"))</f>
        <v>alice.davis@company.com</v>
      </c>
      <c r="C76" s="42" t="s">
        <v>40</v>
      </c>
      <c r="D76" s="42" t="s">
        <v>70</v>
      </c>
      <c r="E76" s="42" t="s">
        <v>76</v>
      </c>
      <c r="F76" s="50" t="str">
        <f>LEFT(EmployeeTable3[[#This Row],[First Name]],4)</f>
        <v>Alic</v>
      </c>
      <c r="G76" s="42"/>
      <c r="H76" s="42" t="s">
        <v>79</v>
      </c>
      <c r="I76" s="57" t="str">
        <f t="shared" si="5"/>
        <v>323-5558898</v>
      </c>
      <c r="J76" s="43" t="s">
        <v>80</v>
      </c>
      <c r="K76" s="44" t="s">
        <v>166</v>
      </c>
      <c r="L76" s="52" t="str">
        <f>TEXT(EmployeeTable3[[#This Row],[Joining Date]],"MM-DD-YYYY")</f>
        <v>12-21-2015</v>
      </c>
      <c r="M76" s="45">
        <v>87905</v>
      </c>
      <c r="N76" s="81" t="s">
        <v>97</v>
      </c>
      <c r="O76" s="42" t="s">
        <v>38</v>
      </c>
      <c r="P76" s="42">
        <v>5</v>
      </c>
      <c r="Q76" s="53" t="str">
        <f>IF(EmployeeTable3[[#This Row],[Performance Rating]]&gt;=_xlfn.PERCENTILE.INC(EmployeeTable3[Performance Rating],0.9),"Top 10%","Not Top 10%")</f>
        <v>Top 10%</v>
      </c>
      <c r="R76" s="46">
        <v>14185</v>
      </c>
      <c r="S76" s="46">
        <v>10854</v>
      </c>
      <c r="T76" s="42">
        <v>6.29</v>
      </c>
      <c r="U76" s="42">
        <v>16</v>
      </c>
      <c r="V76" s="62">
        <f>NPV(0.05,EmployeeTable3[[#This Row],[Monthly Sales]])</f>
        <v>13509.523809523809</v>
      </c>
      <c r="W76" s="42" t="s">
        <v>98</v>
      </c>
      <c r="X76" s="53" t="str">
        <f t="shared" si="6"/>
        <v>W</v>
      </c>
      <c r="Y76" s="50" t="str">
        <f>_xlfn.CONCAT(EmployeeTable3[[#This Row],[Region Code]],EmployeeTable3[[#This Row],[Employee ID]],EmployeeTable3[[#This Row],[First Name]],EmployeeTable3[[#This Row],[Last Name]])</f>
        <v>W75AliceDavis</v>
      </c>
      <c r="Z76" s="55" t="str">
        <f>IF(AND(EmployeeTable3[[#This Row],[Performance Rating]]&gt;=4, EmployeeTable3[[#This Row],[Bonus]]&gt;=0.1),"Eligible","Not Eligible")</f>
        <v>Eligible</v>
      </c>
      <c r="AA76" s="53">
        <f t="shared" ca="1" si="7"/>
        <v>10</v>
      </c>
      <c r="AB76" s="62">
        <f>PMT((EmployeeTable3[[#This Row],[Interest Rate %]]/100)/12,EmployeeTable3[[#This Row],[Loan Term (Months)]],-EmployeeTable3[[#This Row],[Loan Amount]])</f>
        <v>708.99441816857859</v>
      </c>
    </row>
    <row r="77" spans="1:28" ht="17.25" x14ac:dyDescent="0.3">
      <c r="A77" s="41">
        <v>76</v>
      </c>
      <c r="B77" s="48" t="str">
        <f>LOWER(_xlfn.CONCAT(EmployeeTable3[[#This Row],[First Name]],".",EmployeeTable3[[#This Row],[Last Name]],"@company.com"))</f>
        <v>grace.davis@company.com</v>
      </c>
      <c r="C77" s="42" t="s">
        <v>40</v>
      </c>
      <c r="D77" s="42" t="s">
        <v>64</v>
      </c>
      <c r="E77" s="42" t="s">
        <v>76</v>
      </c>
      <c r="F77" s="50" t="str">
        <f>LEFT(EmployeeTable3[[#This Row],[First Name]],4)</f>
        <v>Grac</v>
      </c>
      <c r="G77" s="42"/>
      <c r="H77" s="42" t="s">
        <v>83</v>
      </c>
      <c r="I77" s="57" t="str">
        <f t="shared" si="5"/>
        <v>323-5665569</v>
      </c>
      <c r="J77" s="43" t="s">
        <v>84</v>
      </c>
      <c r="K77" s="44" t="s">
        <v>167</v>
      </c>
      <c r="L77" s="52" t="str">
        <f>TEXT(EmployeeTable3[[#This Row],[Joining Date]],"MM-DD-YYYY")</f>
        <v>12-09-2016</v>
      </c>
      <c r="M77" s="45">
        <v>48950</v>
      </c>
      <c r="N77" s="81" t="s">
        <v>115</v>
      </c>
      <c r="O77" s="42" t="s">
        <v>62</v>
      </c>
      <c r="P77" s="42">
        <v>4.8</v>
      </c>
      <c r="Q77" s="53" t="str">
        <f>IF(EmployeeTable3[[#This Row],[Performance Rating]]&gt;=_xlfn.PERCENTILE.INC(EmployeeTable3[Performance Rating],0.9),"Top 10%","Not Top 10%")</f>
        <v>Not Top 10%</v>
      </c>
      <c r="R77" s="46">
        <v>14206</v>
      </c>
      <c r="S77" s="46">
        <v>19474</v>
      </c>
      <c r="T77" s="42">
        <v>4.25</v>
      </c>
      <c r="U77" s="42">
        <v>53</v>
      </c>
      <c r="V77" s="62">
        <f>NPV(0.05,EmployeeTable3[[#This Row],[Monthly Sales]])</f>
        <v>13529.523809523809</v>
      </c>
      <c r="W77" s="42" t="s">
        <v>98</v>
      </c>
      <c r="X77" s="53" t="str">
        <f t="shared" si="6"/>
        <v>E</v>
      </c>
      <c r="Y77" s="50" t="str">
        <f>_xlfn.CONCAT(EmployeeTable3[[#This Row],[Region Code]],EmployeeTable3[[#This Row],[Employee ID]],EmployeeTable3[[#This Row],[First Name]],EmployeeTable3[[#This Row],[Last Name]])</f>
        <v>E76GraceDavis</v>
      </c>
      <c r="Z77" s="55" t="str">
        <f>IF(AND(EmployeeTable3[[#This Row],[Performance Rating]]&gt;=4, EmployeeTable3[[#This Row],[Bonus]]&gt;=0.1),"Eligible","Not Eligible")</f>
        <v>Eligible</v>
      </c>
      <c r="AA77" s="53">
        <f t="shared" ca="1" si="7"/>
        <v>9</v>
      </c>
      <c r="AB77" s="62">
        <f>PMT((EmployeeTable3[[#This Row],[Interest Rate %]]/100)/12,EmployeeTable3[[#This Row],[Loan Term (Months)]],-EmployeeTable3[[#This Row],[Loan Amount]])</f>
        <v>403.64577602050258</v>
      </c>
    </row>
    <row r="78" spans="1:28" ht="17.25" x14ac:dyDescent="0.3">
      <c r="A78" s="41">
        <v>77</v>
      </c>
      <c r="B78" s="48" t="str">
        <f>LOWER(_xlfn.CONCAT(EmployeeTable3[[#This Row],[First Name]],".",EmployeeTable3[[#This Row],[Last Name]],"@company.com"))</f>
        <v>alice.clark@company.com</v>
      </c>
      <c r="C78" s="42" t="s">
        <v>55</v>
      </c>
      <c r="D78" s="42" t="s">
        <v>70</v>
      </c>
      <c r="E78" s="42" t="s">
        <v>25</v>
      </c>
      <c r="F78" s="50" t="str">
        <f>LEFT(EmployeeTable3[[#This Row],[First Name]],4)</f>
        <v>Alic</v>
      </c>
      <c r="G78" s="42"/>
      <c r="H78" s="42" t="s">
        <v>42</v>
      </c>
      <c r="I78" s="57" t="str">
        <f t="shared" si="5"/>
        <v>323-5699987</v>
      </c>
      <c r="J78" s="43" t="s">
        <v>43</v>
      </c>
      <c r="K78" s="44" t="s">
        <v>168</v>
      </c>
      <c r="L78" s="52" t="str">
        <f>TEXT(EmployeeTable3[[#This Row],[Joining Date]],"MM-DD-YYYY")</f>
        <v>09-30-2017</v>
      </c>
      <c r="M78" s="45">
        <v>67316</v>
      </c>
      <c r="N78" s="81" t="s">
        <v>115</v>
      </c>
      <c r="O78" s="42" t="s">
        <v>38</v>
      </c>
      <c r="P78" s="42">
        <v>4.2</v>
      </c>
      <c r="Q78" s="53" t="str">
        <f>IF(EmployeeTable3[[#This Row],[Performance Rating]]&gt;=_xlfn.PERCENTILE.INC(EmployeeTable3[Performance Rating],0.9),"Top 10%","Not Top 10%")</f>
        <v>Not Top 10%</v>
      </c>
      <c r="R78" s="46">
        <v>14666</v>
      </c>
      <c r="S78" s="46">
        <v>62083</v>
      </c>
      <c r="T78" s="42">
        <v>8.91</v>
      </c>
      <c r="U78" s="42">
        <v>16</v>
      </c>
      <c r="V78" s="62">
        <f>NPV(0.05,EmployeeTable3[[#This Row],[Monthly Sales]])</f>
        <v>13967.619047619048</v>
      </c>
      <c r="W78" s="42" t="s">
        <v>104</v>
      </c>
      <c r="X78" s="53" t="str">
        <f t="shared" si="6"/>
        <v>W</v>
      </c>
      <c r="Y78" s="50" t="str">
        <f>_xlfn.CONCAT(EmployeeTable3[[#This Row],[Region Code]],EmployeeTable3[[#This Row],[Employee ID]],EmployeeTable3[[#This Row],[First Name]],EmployeeTable3[[#This Row],[Last Name]])</f>
        <v>W77AliceClark</v>
      </c>
      <c r="Z78" s="55" t="str">
        <f>IF(AND(EmployeeTable3[[#This Row],[Performance Rating]]&gt;=4, EmployeeTable3[[#This Row],[Bonus]]&gt;=0.1),"Eligible","Not Eligible")</f>
        <v>Eligible</v>
      </c>
      <c r="AA78" s="53">
        <f t="shared" ca="1" si="7"/>
        <v>8</v>
      </c>
      <c r="AB78" s="62">
        <f>PMT((EmployeeTable3[[#This Row],[Interest Rate %]]/100)/12,EmployeeTable3[[#This Row],[Loan Term (Months)]],-EmployeeTable3[[#This Row],[Loan Amount]])</f>
        <v>4129.6037190643374</v>
      </c>
    </row>
    <row r="79" spans="1:28" ht="17.25" x14ac:dyDescent="0.3">
      <c r="A79" s="41">
        <v>78</v>
      </c>
      <c r="B79" s="48" t="str">
        <f>LOWER(_xlfn.CONCAT(EmployeeTable3[[#This Row],[First Name]],".",EmployeeTable3[[#This Row],[Last Name]],"@company.com"))</f>
        <v>grace.miller@company.com</v>
      </c>
      <c r="C79" s="42" t="s">
        <v>47</v>
      </c>
      <c r="D79" s="42" t="s">
        <v>64</v>
      </c>
      <c r="E79" s="42" t="s">
        <v>33</v>
      </c>
      <c r="F79" s="50" t="str">
        <f>LEFT(EmployeeTable3[[#This Row],[First Name]],4)</f>
        <v>Grac</v>
      </c>
      <c r="G79" s="42"/>
      <c r="H79" s="42" t="s">
        <v>50</v>
      </c>
      <c r="I79" s="57" t="str">
        <f t="shared" si="5"/>
        <v>323-6554412</v>
      </c>
      <c r="J79" s="43" t="s">
        <v>51</v>
      </c>
      <c r="K79" s="44" t="s">
        <v>169</v>
      </c>
      <c r="L79" s="52" t="str">
        <f>TEXT(EmployeeTable3[[#This Row],[Joining Date]],"MM-DD-YYYY")</f>
        <v>04-29-2015</v>
      </c>
      <c r="M79" s="45">
        <v>86143</v>
      </c>
      <c r="N79" s="81" t="s">
        <v>132</v>
      </c>
      <c r="O79" s="42" t="s">
        <v>30</v>
      </c>
      <c r="P79" s="42">
        <v>3.6</v>
      </c>
      <c r="Q79" s="53" t="str">
        <f>IF(EmployeeTable3[[#This Row],[Performance Rating]]&gt;=_xlfn.PERCENTILE.INC(EmployeeTable3[Performance Rating],0.9),"Top 10%","Not Top 10%")</f>
        <v>Not Top 10%</v>
      </c>
      <c r="R79" s="46">
        <v>14990</v>
      </c>
      <c r="S79" s="46">
        <v>61005</v>
      </c>
      <c r="T79" s="42">
        <v>9.34</v>
      </c>
      <c r="U79" s="42">
        <v>12</v>
      </c>
      <c r="V79" s="62">
        <f>NPV(0.05,EmployeeTable3[[#This Row],[Monthly Sales]])</f>
        <v>14276.190476190475</v>
      </c>
      <c r="W79" s="42" t="s">
        <v>92</v>
      </c>
      <c r="X79" s="53" t="str">
        <f t="shared" si="6"/>
        <v>S</v>
      </c>
      <c r="Y79" s="50" t="str">
        <f>_xlfn.CONCAT(EmployeeTable3[[#This Row],[Region Code]],EmployeeTable3[[#This Row],[Employee ID]],EmployeeTable3[[#This Row],[First Name]],EmployeeTable3[[#This Row],[Last Name]])</f>
        <v>S78GraceMiller</v>
      </c>
      <c r="Z79" s="55" t="str">
        <f>IF(AND(EmployeeTable3[[#This Row],[Performance Rating]]&gt;=4, EmployeeTable3[[#This Row],[Bonus]]&gt;=0.1),"Eligible","Not Eligible")</f>
        <v>Not Eligible</v>
      </c>
      <c r="AA79" s="53">
        <f t="shared" ca="1" si="7"/>
        <v>11</v>
      </c>
      <c r="AB79" s="62">
        <f>PMT((EmployeeTable3[[#This Row],[Interest Rate %]]/100)/12,EmployeeTable3[[#This Row],[Loan Term (Months)]],-EmployeeTable3[[#This Row],[Loan Amount]])</f>
        <v>5344.6006808311786</v>
      </c>
    </row>
    <row r="80" spans="1:28" ht="17.25" x14ac:dyDescent="0.3">
      <c r="A80" s="41">
        <v>79</v>
      </c>
      <c r="B80" s="48" t="str">
        <f>LOWER(_xlfn.CONCAT(EmployeeTable3[[#This Row],[First Name]],".",EmployeeTable3[[#This Row],[Last Name]],"@company.com"))</f>
        <v>henry.lee@company.com</v>
      </c>
      <c r="C80" s="42" t="s">
        <v>40</v>
      </c>
      <c r="D80" s="42" t="s">
        <v>48</v>
      </c>
      <c r="E80" s="42" t="s">
        <v>41</v>
      </c>
      <c r="F80" s="50" t="str">
        <f>LEFT(EmployeeTable3[[#This Row],[First Name]],4)</f>
        <v>Henr</v>
      </c>
      <c r="G80" s="42"/>
      <c r="H80" s="42" t="s">
        <v>34</v>
      </c>
      <c r="I80" s="57" t="str">
        <f t="shared" si="5"/>
        <v>323-9665568</v>
      </c>
      <c r="J80" s="43" t="s">
        <v>35</v>
      </c>
      <c r="K80" s="44" t="s">
        <v>170</v>
      </c>
      <c r="L80" s="52" t="str">
        <f>TEXT(EmployeeTable3[[#This Row],[Joining Date]],"MM-DD-YYYY")</f>
        <v>11-17-2018</v>
      </c>
      <c r="M80" s="45">
        <v>102839</v>
      </c>
      <c r="N80" s="81" t="s">
        <v>37</v>
      </c>
      <c r="O80" s="42" t="s">
        <v>30</v>
      </c>
      <c r="P80" s="42">
        <v>3.9</v>
      </c>
      <c r="Q80" s="53" t="str">
        <f>IF(EmployeeTable3[[#This Row],[Performance Rating]]&gt;=_xlfn.PERCENTILE.INC(EmployeeTable3[Performance Rating],0.9),"Top 10%","Not Top 10%")</f>
        <v>Not Top 10%</v>
      </c>
      <c r="R80" s="46">
        <v>15067</v>
      </c>
      <c r="S80" s="46">
        <v>32671</v>
      </c>
      <c r="T80" s="42">
        <v>5.51</v>
      </c>
      <c r="U80" s="42">
        <v>59</v>
      </c>
      <c r="V80" s="62">
        <f>NPV(0.05,EmployeeTable3[[#This Row],[Monthly Sales]])</f>
        <v>14349.523809523809</v>
      </c>
      <c r="W80" s="42" t="s">
        <v>63</v>
      </c>
      <c r="X80" s="53" t="str">
        <f t="shared" si="6"/>
        <v>S</v>
      </c>
      <c r="Y80" s="50" t="str">
        <f>_xlfn.CONCAT(EmployeeTable3[[#This Row],[Region Code]],EmployeeTable3[[#This Row],[Employee ID]],EmployeeTable3[[#This Row],[First Name]],EmployeeTable3[[#This Row],[Last Name]])</f>
        <v>S79HenryLee</v>
      </c>
      <c r="Z80" s="55" t="str">
        <f>IF(AND(EmployeeTable3[[#This Row],[Performance Rating]]&gt;=4, EmployeeTable3[[#This Row],[Bonus]]&gt;=0.1),"Eligible","Not Eligible")</f>
        <v>Not Eligible</v>
      </c>
      <c r="AA80" s="53">
        <f t="shared" ca="1" si="7"/>
        <v>7</v>
      </c>
      <c r="AB80" s="62">
        <f>PMT((EmployeeTable3[[#This Row],[Interest Rate %]]/100)/12,EmployeeTable3[[#This Row],[Loan Term (Months)]],-EmployeeTable3[[#This Row],[Loan Amount]])</f>
        <v>633.39809023627186</v>
      </c>
    </row>
    <row r="81" spans="1:28" ht="17.25" x14ac:dyDescent="0.3">
      <c r="A81" s="41">
        <v>80</v>
      </c>
      <c r="B81" s="48" t="str">
        <f>LOWER(_xlfn.CONCAT(EmployeeTable3[[#This Row],[First Name]],".",EmployeeTable3[[#This Row],[Last Name]],"@company.com"))</f>
        <v>frank.miller@company.com</v>
      </c>
      <c r="C81" s="42" t="s">
        <v>40</v>
      </c>
      <c r="D81" s="42" t="s">
        <v>56</v>
      </c>
      <c r="E81" s="42" t="s">
        <v>33</v>
      </c>
      <c r="F81" s="50" t="str">
        <f>LEFT(EmployeeTable3[[#This Row],[First Name]],4)</f>
        <v>Fran</v>
      </c>
      <c r="G81" s="42"/>
      <c r="H81" s="42" t="s">
        <v>83</v>
      </c>
      <c r="I81" s="57" t="str">
        <f t="shared" si="5"/>
        <v>323-5665569</v>
      </c>
      <c r="J81" s="43" t="s">
        <v>84</v>
      </c>
      <c r="K81" s="44" t="s">
        <v>171</v>
      </c>
      <c r="L81" s="52" t="str">
        <f>TEXT(EmployeeTable3[[#This Row],[Joining Date]],"MM-DD-YYYY")</f>
        <v>07-03-2017</v>
      </c>
      <c r="M81" s="45">
        <v>63884</v>
      </c>
      <c r="N81" s="81" t="s">
        <v>91</v>
      </c>
      <c r="O81" s="42" t="s">
        <v>38</v>
      </c>
      <c r="P81" s="42">
        <v>3.8</v>
      </c>
      <c r="Q81" s="53" t="str">
        <f>IF(EmployeeTable3[[#This Row],[Performance Rating]]&gt;=_xlfn.PERCENTILE.INC(EmployeeTable3[Performance Rating],0.9),"Top 10%","Not Top 10%")</f>
        <v>Not Top 10%</v>
      </c>
      <c r="R81" s="46">
        <v>15417</v>
      </c>
      <c r="S81" s="46">
        <v>71087</v>
      </c>
      <c r="T81" s="42">
        <v>7.13</v>
      </c>
      <c r="U81" s="42">
        <v>34</v>
      </c>
      <c r="V81" s="62">
        <f>NPV(0.05,EmployeeTable3[[#This Row],[Monthly Sales]])</f>
        <v>14682.857142857143</v>
      </c>
      <c r="W81" s="42" t="s">
        <v>75</v>
      </c>
      <c r="X81" s="53" t="str">
        <f t="shared" si="6"/>
        <v>W</v>
      </c>
      <c r="Y81" s="50" t="str">
        <f>_xlfn.CONCAT(EmployeeTable3[[#This Row],[Region Code]],EmployeeTable3[[#This Row],[Employee ID]],EmployeeTable3[[#This Row],[First Name]],EmployeeTable3[[#This Row],[Last Name]])</f>
        <v>W80FrankMiller</v>
      </c>
      <c r="Z81" s="55" t="str">
        <f>IF(AND(EmployeeTable3[[#This Row],[Performance Rating]]&gt;=4, EmployeeTable3[[#This Row],[Bonus]]&gt;=0.1),"Eligible","Not Eligible")</f>
        <v>Not Eligible</v>
      </c>
      <c r="AA81" s="53">
        <f t="shared" ca="1" si="7"/>
        <v>8</v>
      </c>
      <c r="AB81" s="62">
        <f>PMT((EmployeeTable3[[#This Row],[Interest Rate %]]/100)/12,EmployeeTable3[[#This Row],[Loan Term (Months)]],-EmployeeTable3[[#This Row],[Loan Amount]])</f>
        <v>2315.2717549719114</v>
      </c>
    </row>
    <row r="82" spans="1:28" ht="17.25" x14ac:dyDescent="0.3">
      <c r="A82" s="41">
        <v>81</v>
      </c>
      <c r="B82" s="48" t="str">
        <f>LOWER(_xlfn.CONCAT(EmployeeTable3[[#This Row],[First Name]],".",EmployeeTable3[[#This Row],[Last Name]],"@company.com"))</f>
        <v>frank.taylor@company.com</v>
      </c>
      <c r="C82" s="42" t="s">
        <v>40</v>
      </c>
      <c r="D82" s="42" t="s">
        <v>56</v>
      </c>
      <c r="E82" s="42" t="s">
        <v>111</v>
      </c>
      <c r="F82" s="50" t="str">
        <f>LEFT(EmployeeTable3[[#This Row],[First Name]],4)</f>
        <v>Fran</v>
      </c>
      <c r="G82" s="42"/>
      <c r="H82" s="42" t="s">
        <v>50</v>
      </c>
      <c r="I82" s="57" t="str">
        <f t="shared" si="5"/>
        <v>323-6554412</v>
      </c>
      <c r="J82" s="43" t="s">
        <v>51</v>
      </c>
      <c r="K82" s="44" t="s">
        <v>172</v>
      </c>
      <c r="L82" s="52" t="str">
        <f>TEXT(EmployeeTable3[[#This Row],[Joining Date]],"MM-DD-YYYY")</f>
        <v>05-24-2018</v>
      </c>
      <c r="M82" s="45">
        <v>67443</v>
      </c>
      <c r="N82" s="81" t="s">
        <v>53</v>
      </c>
      <c r="O82" s="42" t="s">
        <v>54</v>
      </c>
      <c r="P82" s="42">
        <v>3.2</v>
      </c>
      <c r="Q82" s="53" t="str">
        <f>IF(EmployeeTable3[[#This Row],[Performance Rating]]&gt;=_xlfn.PERCENTILE.INC(EmployeeTable3[Performance Rating],0.9),"Top 10%","Not Top 10%")</f>
        <v>Not Top 10%</v>
      </c>
      <c r="R82" s="46">
        <v>15773</v>
      </c>
      <c r="S82" s="46">
        <v>44754</v>
      </c>
      <c r="T82" s="42">
        <v>4.79</v>
      </c>
      <c r="U82" s="42">
        <v>47</v>
      </c>
      <c r="V82" s="62">
        <f>NPV(0.05,EmployeeTable3[[#This Row],[Monthly Sales]])</f>
        <v>15021.904761904761</v>
      </c>
      <c r="W82" s="42" t="s">
        <v>63</v>
      </c>
      <c r="X82" s="53" t="str">
        <f t="shared" si="6"/>
        <v>N</v>
      </c>
      <c r="Y82" s="50" t="str">
        <f>_xlfn.CONCAT(EmployeeTable3[[#This Row],[Region Code]],EmployeeTable3[[#This Row],[Employee ID]],EmployeeTable3[[#This Row],[First Name]],EmployeeTable3[[#This Row],[Last Name]])</f>
        <v>N81FrankTaylor</v>
      </c>
      <c r="Z82" s="55" t="str">
        <f>IF(AND(EmployeeTable3[[#This Row],[Performance Rating]]&gt;=4, EmployeeTable3[[#This Row],[Bonus]]&gt;=0.1),"Eligible","Not Eligible")</f>
        <v>Not Eligible</v>
      </c>
      <c r="AA82" s="53">
        <f t="shared" ca="1" si="7"/>
        <v>7</v>
      </c>
      <c r="AB82" s="62">
        <f>PMT((EmployeeTable3[[#This Row],[Interest Rate %]]/100)/12,EmployeeTable3[[#This Row],[Loan Term (Months)]],-EmployeeTable3[[#This Row],[Loan Amount]])</f>
        <v>1046.2192108921904</v>
      </c>
    </row>
    <row r="83" spans="1:28" ht="17.25" x14ac:dyDescent="0.3">
      <c r="A83" s="41">
        <v>82</v>
      </c>
      <c r="B83" s="48" t="str">
        <f>LOWER(_xlfn.CONCAT(EmployeeTable3[[#This Row],[First Name]],".",EmployeeTable3[[#This Row],[Last Name]],"@company.com"))</f>
        <v>bob.davis@company.com</v>
      </c>
      <c r="C83" s="42" t="s">
        <v>40</v>
      </c>
      <c r="D83" s="42" t="s">
        <v>24</v>
      </c>
      <c r="E83" s="42" t="s">
        <v>76</v>
      </c>
      <c r="F83" s="50" t="str">
        <f>LEFT(EmployeeTable3[[#This Row],[First Name]],4)</f>
        <v>Bob</v>
      </c>
      <c r="G83" s="42"/>
      <c r="H83" s="42" t="s">
        <v>58</v>
      </c>
      <c r="I83" s="57" t="str">
        <f t="shared" si="5"/>
        <v>323-8552214</v>
      </c>
      <c r="J83" s="43" t="s">
        <v>59</v>
      </c>
      <c r="K83" s="44" t="s">
        <v>173</v>
      </c>
      <c r="L83" s="52" t="str">
        <f>TEXT(EmployeeTable3[[#This Row],[Joining Date]],"MM-DD-YYYY")</f>
        <v>12-02-2022</v>
      </c>
      <c r="M83" s="45">
        <v>98934</v>
      </c>
      <c r="N83" s="81" t="s">
        <v>29</v>
      </c>
      <c r="O83" s="42" t="s">
        <v>62</v>
      </c>
      <c r="P83" s="42">
        <v>4.3</v>
      </c>
      <c r="Q83" s="53" t="str">
        <f>IF(EmployeeTable3[[#This Row],[Performance Rating]]&gt;=_xlfn.PERCENTILE.INC(EmployeeTable3[Performance Rating],0.9),"Top 10%","Not Top 10%")</f>
        <v>Not Top 10%</v>
      </c>
      <c r="R83" s="46">
        <v>15986</v>
      </c>
      <c r="S83" s="46">
        <v>77863</v>
      </c>
      <c r="T83" s="42">
        <v>5.76</v>
      </c>
      <c r="U83" s="42">
        <v>57</v>
      </c>
      <c r="V83" s="62">
        <f>NPV(0.05,EmployeeTable3[[#This Row],[Monthly Sales]])</f>
        <v>15224.761904761905</v>
      </c>
      <c r="W83" s="42" t="s">
        <v>98</v>
      </c>
      <c r="X83" s="53" t="str">
        <f t="shared" si="6"/>
        <v>E</v>
      </c>
      <c r="Y83" s="50" t="str">
        <f>_xlfn.CONCAT(EmployeeTable3[[#This Row],[Region Code]],EmployeeTable3[[#This Row],[Employee ID]],EmployeeTable3[[#This Row],[First Name]],EmployeeTable3[[#This Row],[Last Name]])</f>
        <v>E82BobDavis</v>
      </c>
      <c r="Z83" s="55" t="str">
        <f>IF(AND(EmployeeTable3[[#This Row],[Performance Rating]]&gt;=4, EmployeeTable3[[#This Row],[Bonus]]&gt;=0.1),"Eligible","Not Eligible")</f>
        <v>Eligible</v>
      </c>
      <c r="AA83" s="53">
        <f t="shared" ca="1" si="7"/>
        <v>3</v>
      </c>
      <c r="AB83" s="62">
        <f>PMT((EmployeeTable3[[#This Row],[Interest Rate %]]/100)/12,EmployeeTable3[[#This Row],[Loan Term (Months)]],-EmployeeTable3[[#This Row],[Loan Amount]])</f>
        <v>1564.6549736953414</v>
      </c>
    </row>
    <row r="84" spans="1:28" ht="17.25" x14ac:dyDescent="0.3">
      <c r="A84" s="41">
        <v>83</v>
      </c>
      <c r="B84" s="48" t="str">
        <f>LOWER(_xlfn.CONCAT(EmployeeTable3[[#This Row],[First Name]],".",EmployeeTable3[[#This Row],[Last Name]],"@company.com"))</f>
        <v>jack.smith@company.com</v>
      </c>
      <c r="C84" s="42" t="s">
        <v>23</v>
      </c>
      <c r="D84" s="42" t="s">
        <v>93</v>
      </c>
      <c r="E84" s="42" t="s">
        <v>71</v>
      </c>
      <c r="F84" s="50" t="str">
        <f>LEFT(EmployeeTable3[[#This Row],[First Name]],4)</f>
        <v>Jack</v>
      </c>
      <c r="G84" s="42"/>
      <c r="H84" s="42" t="s">
        <v>58</v>
      </c>
      <c r="I84" s="57" t="str">
        <f t="shared" si="5"/>
        <v>323-8552214</v>
      </c>
      <c r="J84" s="43" t="s">
        <v>59</v>
      </c>
      <c r="K84" s="44" t="s">
        <v>174</v>
      </c>
      <c r="L84" s="52" t="str">
        <f>TEXT(EmployeeTable3[[#This Row],[Joining Date]],"MM-DD-YYYY")</f>
        <v>01-19-2016</v>
      </c>
      <c r="M84" s="45">
        <v>72853</v>
      </c>
      <c r="N84" s="81" t="s">
        <v>113</v>
      </c>
      <c r="O84" s="42" t="s">
        <v>62</v>
      </c>
      <c r="P84" s="42">
        <v>4.4000000000000004</v>
      </c>
      <c r="Q84" s="53" t="str">
        <f>IF(EmployeeTable3[[#This Row],[Performance Rating]]&gt;=_xlfn.PERCENTILE.INC(EmployeeTable3[Performance Rating],0.9),"Top 10%","Not Top 10%")</f>
        <v>Not Top 10%</v>
      </c>
      <c r="R84" s="46">
        <v>16039</v>
      </c>
      <c r="S84" s="46">
        <v>61663</v>
      </c>
      <c r="T84" s="42">
        <v>8.94</v>
      </c>
      <c r="U84" s="42">
        <v>44</v>
      </c>
      <c r="V84" s="62">
        <f>NPV(0.05,EmployeeTable3[[#This Row],[Monthly Sales]])</f>
        <v>15275.238095238095</v>
      </c>
      <c r="W84" s="42" t="s">
        <v>39</v>
      </c>
      <c r="X84" s="53" t="str">
        <f t="shared" si="6"/>
        <v>E</v>
      </c>
      <c r="Y84" s="50" t="str">
        <f>_xlfn.CONCAT(EmployeeTable3[[#This Row],[Region Code]],EmployeeTable3[[#This Row],[Employee ID]],EmployeeTable3[[#This Row],[First Name]],EmployeeTable3[[#This Row],[Last Name]])</f>
        <v>E83JackSmith</v>
      </c>
      <c r="Z84" s="55" t="str">
        <f>IF(AND(EmployeeTable3[[#This Row],[Performance Rating]]&gt;=4, EmployeeTable3[[#This Row],[Bonus]]&gt;=0.1),"Eligible","Not Eligible")</f>
        <v>Eligible</v>
      </c>
      <c r="AA84" s="53">
        <f t="shared" ca="1" si="7"/>
        <v>10</v>
      </c>
      <c r="AB84" s="62">
        <f>PMT((EmployeeTable3[[#This Row],[Interest Rate %]]/100)/12,EmployeeTable3[[#This Row],[Loan Term (Months)]],-EmployeeTable3[[#This Row],[Loan Amount]])</f>
        <v>1648.820672003138</v>
      </c>
    </row>
    <row r="85" spans="1:28" ht="17.25" x14ac:dyDescent="0.3">
      <c r="A85" s="41">
        <v>84</v>
      </c>
      <c r="B85" s="48" t="str">
        <f>LOWER(_xlfn.CONCAT(EmployeeTable3[[#This Row],[First Name]],".",EmployeeTable3[[#This Row],[Last Name]],"@company.com"))</f>
        <v>henry.miller@company.com</v>
      </c>
      <c r="C85" s="42" t="s">
        <v>55</v>
      </c>
      <c r="D85" s="42" t="s">
        <v>48</v>
      </c>
      <c r="E85" s="42" t="s">
        <v>33</v>
      </c>
      <c r="F85" s="50" t="str">
        <f>LEFT(EmployeeTable3[[#This Row],[First Name]],4)</f>
        <v>Henr</v>
      </c>
      <c r="G85" s="42"/>
      <c r="H85" s="42" t="s">
        <v>79</v>
      </c>
      <c r="I85" s="57" t="str">
        <f t="shared" si="5"/>
        <v>323-5558898</v>
      </c>
      <c r="J85" s="43" t="s">
        <v>80</v>
      </c>
      <c r="K85" s="44" t="s">
        <v>175</v>
      </c>
      <c r="L85" s="52" t="str">
        <f>TEXT(EmployeeTable3[[#This Row],[Joining Date]],"MM-DD-YYYY")</f>
        <v>08-25-2015</v>
      </c>
      <c r="M85" s="45">
        <v>110404</v>
      </c>
      <c r="N85" s="81" t="s">
        <v>115</v>
      </c>
      <c r="O85" s="42" t="s">
        <v>38</v>
      </c>
      <c r="P85" s="42">
        <v>4.8</v>
      </c>
      <c r="Q85" s="53" t="str">
        <f>IF(EmployeeTable3[[#This Row],[Performance Rating]]&gt;=_xlfn.PERCENTILE.INC(EmployeeTable3[Performance Rating],0.9),"Top 10%","Not Top 10%")</f>
        <v>Not Top 10%</v>
      </c>
      <c r="R85" s="46">
        <v>16423</v>
      </c>
      <c r="S85" s="46">
        <v>97939</v>
      </c>
      <c r="T85" s="42">
        <v>6.79</v>
      </c>
      <c r="U85" s="42">
        <v>25</v>
      </c>
      <c r="V85" s="62">
        <f>NPV(0.05,EmployeeTable3[[#This Row],[Monthly Sales]])</f>
        <v>15640.95238095238</v>
      </c>
      <c r="W85" s="42" t="s">
        <v>63</v>
      </c>
      <c r="X85" s="53" t="str">
        <f t="shared" si="6"/>
        <v>W</v>
      </c>
      <c r="Y85" s="50" t="str">
        <f>_xlfn.CONCAT(EmployeeTable3[[#This Row],[Region Code]],EmployeeTable3[[#This Row],[Employee ID]],EmployeeTable3[[#This Row],[First Name]],EmployeeTable3[[#This Row],[Last Name]])</f>
        <v>W84HenryMiller</v>
      </c>
      <c r="Z85" s="55" t="str">
        <f>IF(AND(EmployeeTable3[[#This Row],[Performance Rating]]&gt;=4, EmployeeTable3[[#This Row],[Bonus]]&gt;=0.1),"Eligible","Not Eligible")</f>
        <v>Eligible</v>
      </c>
      <c r="AA85" s="53">
        <f t="shared" ca="1" si="7"/>
        <v>10</v>
      </c>
      <c r="AB85" s="62">
        <f>PMT((EmployeeTable3[[#This Row],[Interest Rate %]]/100)/12,EmployeeTable3[[#This Row],[Loan Term (Months)]],-EmployeeTable3[[#This Row],[Loan Amount]])</f>
        <v>4212.2308710775505</v>
      </c>
    </row>
    <row r="86" spans="1:28" ht="17.25" x14ac:dyDescent="0.3">
      <c r="A86" s="41">
        <v>85</v>
      </c>
      <c r="B86" s="48" t="str">
        <f>LOWER(_xlfn.CONCAT(EmployeeTable3[[#This Row],[First Name]],".",EmployeeTable3[[#This Row],[Last Name]],"@company.com"))</f>
        <v>grace.brown@company.com</v>
      </c>
      <c r="C86" s="42" t="s">
        <v>69</v>
      </c>
      <c r="D86" s="42" t="s">
        <v>64</v>
      </c>
      <c r="E86" s="42" t="s">
        <v>57</v>
      </c>
      <c r="F86" s="50" t="str">
        <f>LEFT(EmployeeTable3[[#This Row],[First Name]],4)</f>
        <v>Grac</v>
      </c>
      <c r="G86" s="42"/>
      <c r="H86" s="42" t="s">
        <v>50</v>
      </c>
      <c r="I86" s="57" t="str">
        <f t="shared" si="5"/>
        <v>323-6554412</v>
      </c>
      <c r="J86" s="43" t="s">
        <v>51</v>
      </c>
      <c r="K86" s="44" t="s">
        <v>176</v>
      </c>
      <c r="L86" s="52" t="str">
        <f>TEXT(EmployeeTable3[[#This Row],[Joining Date]],"MM-DD-YYYY")</f>
        <v>07-14-2016</v>
      </c>
      <c r="M86" s="45">
        <v>98392</v>
      </c>
      <c r="N86" s="81" t="s">
        <v>113</v>
      </c>
      <c r="O86" s="42" t="s">
        <v>62</v>
      </c>
      <c r="P86" s="42">
        <v>4</v>
      </c>
      <c r="Q86" s="53" t="str">
        <f>IF(EmployeeTable3[[#This Row],[Performance Rating]]&gt;=_xlfn.PERCENTILE.INC(EmployeeTable3[Performance Rating],0.9),"Top 10%","Not Top 10%")</f>
        <v>Not Top 10%</v>
      </c>
      <c r="R86" s="46">
        <v>16502</v>
      </c>
      <c r="S86" s="46">
        <v>36105</v>
      </c>
      <c r="T86" s="42">
        <v>5.61</v>
      </c>
      <c r="U86" s="42">
        <v>50</v>
      </c>
      <c r="V86" s="62">
        <f>NPV(0.05,EmployeeTable3[[#This Row],[Monthly Sales]])</f>
        <v>15716.190476190475</v>
      </c>
      <c r="W86" s="42" t="s">
        <v>39</v>
      </c>
      <c r="X86" s="53" t="str">
        <f t="shared" si="6"/>
        <v>E</v>
      </c>
      <c r="Y86" s="50" t="str">
        <f>_xlfn.CONCAT(EmployeeTable3[[#This Row],[Region Code]],EmployeeTable3[[#This Row],[Employee ID]],EmployeeTable3[[#This Row],[First Name]],EmployeeTable3[[#This Row],[Last Name]])</f>
        <v>E85GraceBrown</v>
      </c>
      <c r="Z86" s="55" t="str">
        <f>IF(AND(EmployeeTable3[[#This Row],[Performance Rating]]&gt;=4, EmployeeTable3[[#This Row],[Bonus]]&gt;=0.1),"Eligible","Not Eligible")</f>
        <v>Eligible</v>
      </c>
      <c r="AA86" s="53">
        <f t="shared" ca="1" si="7"/>
        <v>9</v>
      </c>
      <c r="AB86" s="62">
        <f>PMT((EmployeeTable3[[#This Row],[Interest Rate %]]/100)/12,EmployeeTable3[[#This Row],[Loan Term (Months)]],-EmployeeTable3[[#This Row],[Loan Amount]])</f>
        <v>811.4593087214563</v>
      </c>
    </row>
    <row r="87" spans="1:28" ht="17.25" x14ac:dyDescent="0.3">
      <c r="A87" s="41">
        <v>86</v>
      </c>
      <c r="B87" s="48" t="str">
        <f>LOWER(_xlfn.CONCAT(EmployeeTable3[[#This Row],[First Name]],".",EmployeeTable3[[#This Row],[Last Name]],"@company.com"))</f>
        <v>henry.adams@company.com</v>
      </c>
      <c r="C87" s="42" t="s">
        <v>55</v>
      </c>
      <c r="D87" s="42" t="s">
        <v>48</v>
      </c>
      <c r="E87" s="42" t="s">
        <v>108</v>
      </c>
      <c r="F87" s="50" t="str">
        <f>LEFT(EmployeeTable3[[#This Row],[First Name]],4)</f>
        <v>Henr</v>
      </c>
      <c r="G87" s="42"/>
      <c r="H87" s="42" t="s">
        <v>34</v>
      </c>
      <c r="I87" s="57" t="str">
        <f t="shared" si="5"/>
        <v>323-9665568</v>
      </c>
      <c r="J87" s="43" t="s">
        <v>35</v>
      </c>
      <c r="K87" s="44" t="s">
        <v>177</v>
      </c>
      <c r="L87" s="52" t="str">
        <f>TEXT(EmployeeTable3[[#This Row],[Joining Date]],"MM-DD-YYYY")</f>
        <v>01-04-2020</v>
      </c>
      <c r="M87" s="45">
        <v>68951</v>
      </c>
      <c r="N87" s="81" t="s">
        <v>82</v>
      </c>
      <c r="O87" s="42" t="s">
        <v>62</v>
      </c>
      <c r="P87" s="42">
        <v>5</v>
      </c>
      <c r="Q87" s="53" t="str">
        <f>IF(EmployeeTable3[[#This Row],[Performance Rating]]&gt;=_xlfn.PERCENTILE.INC(EmployeeTable3[Performance Rating],0.9),"Top 10%","Not Top 10%")</f>
        <v>Top 10%</v>
      </c>
      <c r="R87" s="46">
        <v>16541</v>
      </c>
      <c r="S87" s="46">
        <v>31959</v>
      </c>
      <c r="T87" s="42">
        <v>8.2100000000000009</v>
      </c>
      <c r="U87" s="42">
        <v>30</v>
      </c>
      <c r="V87" s="62">
        <f>NPV(0.05,EmployeeTable3[[#This Row],[Monthly Sales]])</f>
        <v>15753.333333333332</v>
      </c>
      <c r="W87" s="42" t="s">
        <v>63</v>
      </c>
      <c r="X87" s="53" t="str">
        <f t="shared" si="6"/>
        <v>E</v>
      </c>
      <c r="Y87" s="50" t="str">
        <f>_xlfn.CONCAT(EmployeeTable3[[#This Row],[Region Code]],EmployeeTable3[[#This Row],[Employee ID]],EmployeeTable3[[#This Row],[First Name]],EmployeeTable3[[#This Row],[Last Name]])</f>
        <v>E86HenryAdams</v>
      </c>
      <c r="Z87" s="55" t="str">
        <f>IF(AND(EmployeeTable3[[#This Row],[Performance Rating]]&gt;=4, EmployeeTable3[[#This Row],[Bonus]]&gt;=0.1),"Eligible","Not Eligible")</f>
        <v>Eligible</v>
      </c>
      <c r="AA87" s="53">
        <f t="shared" ca="1" si="7"/>
        <v>6</v>
      </c>
      <c r="AB87" s="62">
        <f>PMT((EmployeeTable3[[#This Row],[Interest Rate %]]/100)/12,EmployeeTable3[[#This Row],[Loan Term (Months)]],-EmployeeTable3[[#This Row],[Loan Amount]])</f>
        <v>1181.9910273743171</v>
      </c>
    </row>
    <row r="88" spans="1:28" ht="17.25" x14ac:dyDescent="0.3">
      <c r="A88" s="41">
        <v>87</v>
      </c>
      <c r="B88" s="48" t="str">
        <f>LOWER(_xlfn.CONCAT(EmployeeTable3[[#This Row],[First Name]],".",EmployeeTable3[[#This Row],[Last Name]],"@company.com"))</f>
        <v>isla.lee@company.com</v>
      </c>
      <c r="C88" s="42" t="s">
        <v>55</v>
      </c>
      <c r="D88" s="42" t="s">
        <v>87</v>
      </c>
      <c r="E88" s="42" t="s">
        <v>41</v>
      </c>
      <c r="F88" s="50" t="str">
        <f>LEFT(EmployeeTable3[[#This Row],[First Name]],4)</f>
        <v>Isla</v>
      </c>
      <c r="G88" s="42"/>
      <c r="H88" s="42" t="s">
        <v>79</v>
      </c>
      <c r="I88" s="57" t="str">
        <f t="shared" si="5"/>
        <v>323-5558898</v>
      </c>
      <c r="J88" s="43" t="s">
        <v>80</v>
      </c>
      <c r="K88" s="44" t="s">
        <v>178</v>
      </c>
      <c r="L88" s="52" t="str">
        <f>TEXT(EmployeeTable3[[#This Row],[Joining Date]],"MM-DD-YYYY")</f>
        <v>01-01-2023</v>
      </c>
      <c r="M88" s="45">
        <v>50093</v>
      </c>
      <c r="N88" s="81" t="s">
        <v>129</v>
      </c>
      <c r="O88" s="42" t="s">
        <v>30</v>
      </c>
      <c r="P88" s="42">
        <v>4.4000000000000004</v>
      </c>
      <c r="Q88" s="53" t="str">
        <f>IF(EmployeeTable3[[#This Row],[Performance Rating]]&gt;=_xlfn.PERCENTILE.INC(EmployeeTable3[Performance Rating],0.9),"Top 10%","Not Top 10%")</f>
        <v>Not Top 10%</v>
      </c>
      <c r="R88" s="46">
        <v>16948</v>
      </c>
      <c r="S88" s="46">
        <v>66250</v>
      </c>
      <c r="T88" s="42">
        <v>5.08</v>
      </c>
      <c r="U88" s="42">
        <v>21</v>
      </c>
      <c r="V88" s="62">
        <f>NPV(0.05,EmployeeTable3[[#This Row],[Monthly Sales]])</f>
        <v>16140.95238095238</v>
      </c>
      <c r="W88" s="42" t="s">
        <v>46</v>
      </c>
      <c r="X88" s="53" t="str">
        <f t="shared" si="6"/>
        <v>S</v>
      </c>
      <c r="Y88" s="50" t="str">
        <f>_xlfn.CONCAT(EmployeeTable3[[#This Row],[Region Code]],EmployeeTable3[[#This Row],[Employee ID]],EmployeeTable3[[#This Row],[First Name]],EmployeeTable3[[#This Row],[Last Name]])</f>
        <v>S87IslaLee</v>
      </c>
      <c r="Z88" s="55" t="str">
        <f>IF(AND(EmployeeTable3[[#This Row],[Performance Rating]]&gt;=4, EmployeeTable3[[#This Row],[Bonus]]&gt;=0.1),"Eligible","Not Eligible")</f>
        <v>Eligible</v>
      </c>
      <c r="AA88" s="53">
        <f t="shared" ca="1" si="7"/>
        <v>3</v>
      </c>
      <c r="AB88" s="62">
        <f>PMT((EmployeeTable3[[#This Row],[Interest Rate %]]/100)/12,EmployeeTable3[[#This Row],[Loan Term (Months)]],-EmployeeTable3[[#This Row],[Loan Amount]])</f>
        <v>3303.7370207702947</v>
      </c>
    </row>
    <row r="89" spans="1:28" ht="17.25" x14ac:dyDescent="0.3">
      <c r="A89" s="41">
        <v>88</v>
      </c>
      <c r="B89" s="48" t="str">
        <f>LOWER(_xlfn.CONCAT(EmployeeTable3[[#This Row],[First Name]],".",EmployeeTable3[[#This Row],[Last Name]],"@company.com"))</f>
        <v>frank.johnson@company.com</v>
      </c>
      <c r="C89" s="42" t="s">
        <v>69</v>
      </c>
      <c r="D89" s="42" t="s">
        <v>56</v>
      </c>
      <c r="E89" s="42" t="s">
        <v>73</v>
      </c>
      <c r="F89" s="50" t="str">
        <f>LEFT(EmployeeTable3[[#This Row],[First Name]],4)</f>
        <v>Fran</v>
      </c>
      <c r="G89" s="42"/>
      <c r="H89" s="42" t="s">
        <v>42</v>
      </c>
      <c r="I89" s="57" t="str">
        <f t="shared" si="5"/>
        <v>323-5699987</v>
      </c>
      <c r="J89" s="43" t="s">
        <v>43</v>
      </c>
      <c r="K89" s="44" t="s">
        <v>179</v>
      </c>
      <c r="L89" s="52" t="str">
        <f>TEXT(EmployeeTable3[[#This Row],[Joining Date]],"MM-DD-YYYY")</f>
        <v>09-01-2017</v>
      </c>
      <c r="M89" s="45">
        <v>49326</v>
      </c>
      <c r="N89" s="81" t="s">
        <v>82</v>
      </c>
      <c r="O89" s="42" t="s">
        <v>62</v>
      </c>
      <c r="P89" s="42">
        <v>4.4000000000000004</v>
      </c>
      <c r="Q89" s="53" t="str">
        <f>IF(EmployeeTable3[[#This Row],[Performance Rating]]&gt;=_xlfn.PERCENTILE.INC(EmployeeTable3[Performance Rating],0.9),"Top 10%","Not Top 10%")</f>
        <v>Not Top 10%</v>
      </c>
      <c r="R89" s="46">
        <v>17265</v>
      </c>
      <c r="S89" s="46">
        <v>35184</v>
      </c>
      <c r="T89" s="42">
        <v>4.78</v>
      </c>
      <c r="U89" s="42">
        <v>32</v>
      </c>
      <c r="V89" s="62">
        <f>NPV(0.05,EmployeeTable3[[#This Row],[Monthly Sales]])</f>
        <v>16442.857142857141</v>
      </c>
      <c r="W89" s="42" t="s">
        <v>39</v>
      </c>
      <c r="X89" s="53" t="str">
        <f t="shared" si="6"/>
        <v>E</v>
      </c>
      <c r="Y89" s="50" t="str">
        <f>_xlfn.CONCAT(EmployeeTable3[[#This Row],[Region Code]],EmployeeTable3[[#This Row],[Employee ID]],EmployeeTable3[[#This Row],[First Name]],EmployeeTable3[[#This Row],[Last Name]])</f>
        <v>E88FrankJohnson</v>
      </c>
      <c r="Z89" s="55" t="str">
        <f>IF(AND(EmployeeTable3[[#This Row],[Performance Rating]]&gt;=4, EmployeeTable3[[#This Row],[Bonus]]&gt;=0.1),"Eligible","Not Eligible")</f>
        <v>Eligible</v>
      </c>
      <c r="AA89" s="53">
        <f t="shared" ca="1" si="7"/>
        <v>8</v>
      </c>
      <c r="AB89" s="62">
        <f>PMT((EmployeeTable3[[#This Row],[Interest Rate %]]/100)/12,EmployeeTable3[[#This Row],[Loan Term (Months)]],-EmployeeTable3[[#This Row],[Loan Amount]])</f>
        <v>1173.2485290487814</v>
      </c>
    </row>
    <row r="90" spans="1:28" ht="17.25" x14ac:dyDescent="0.3">
      <c r="A90" s="41">
        <v>89</v>
      </c>
      <c r="B90" s="48" t="str">
        <f>LOWER(_xlfn.CONCAT(EmployeeTable3[[#This Row],[First Name]],".",EmployeeTable3[[#This Row],[Last Name]],"@company.com"))</f>
        <v>jack.miller@company.com</v>
      </c>
      <c r="C90" s="42" t="s">
        <v>47</v>
      </c>
      <c r="D90" s="42" t="s">
        <v>93</v>
      </c>
      <c r="E90" s="42" t="s">
        <v>33</v>
      </c>
      <c r="F90" s="50" t="str">
        <f>LEFT(EmployeeTable3[[#This Row],[First Name]],4)</f>
        <v>Jack</v>
      </c>
      <c r="G90" s="42"/>
      <c r="H90" s="42" t="s">
        <v>79</v>
      </c>
      <c r="I90" s="57" t="str">
        <f t="shared" si="5"/>
        <v>323-5558898</v>
      </c>
      <c r="J90" s="43" t="s">
        <v>80</v>
      </c>
      <c r="K90" s="44" t="s">
        <v>180</v>
      </c>
      <c r="L90" s="52" t="str">
        <f>TEXT(EmployeeTable3[[#This Row],[Joining Date]],"MM-DD-YYYY")</f>
        <v>09-19-2018</v>
      </c>
      <c r="M90" s="45">
        <v>59821</v>
      </c>
      <c r="N90" s="81" t="s">
        <v>91</v>
      </c>
      <c r="O90" s="42" t="s">
        <v>62</v>
      </c>
      <c r="P90" s="42">
        <v>4</v>
      </c>
      <c r="Q90" s="53" t="str">
        <f>IF(EmployeeTable3[[#This Row],[Performance Rating]]&gt;=_xlfn.PERCENTILE.INC(EmployeeTable3[Performance Rating],0.9),"Top 10%","Not Top 10%")</f>
        <v>Not Top 10%</v>
      </c>
      <c r="R90" s="46">
        <v>17422</v>
      </c>
      <c r="S90" s="46">
        <v>62662</v>
      </c>
      <c r="T90" s="42">
        <v>4.34</v>
      </c>
      <c r="U90" s="42">
        <v>39</v>
      </c>
      <c r="V90" s="62">
        <f>NPV(0.05,EmployeeTable3[[#This Row],[Monthly Sales]])</f>
        <v>16592.38095238095</v>
      </c>
      <c r="W90" s="42" t="s">
        <v>104</v>
      </c>
      <c r="X90" s="53" t="str">
        <f t="shared" si="6"/>
        <v>E</v>
      </c>
      <c r="Y90" s="50" t="str">
        <f>_xlfn.CONCAT(EmployeeTable3[[#This Row],[Region Code]],EmployeeTable3[[#This Row],[Employee ID]],EmployeeTable3[[#This Row],[First Name]],EmployeeTable3[[#This Row],[Last Name]])</f>
        <v>E89JackMiller</v>
      </c>
      <c r="Z90" s="55" t="str">
        <f>IF(AND(EmployeeTable3[[#This Row],[Performance Rating]]&gt;=4, EmployeeTable3[[#This Row],[Bonus]]&gt;=0.1),"Eligible","Not Eligible")</f>
        <v>Eligible</v>
      </c>
      <c r="AA90" s="53">
        <f t="shared" ca="1" si="7"/>
        <v>7</v>
      </c>
      <c r="AB90" s="62">
        <f>PMT((EmployeeTable3[[#This Row],[Interest Rate %]]/100)/12,EmployeeTable3[[#This Row],[Loan Term (Months)]],-EmployeeTable3[[#This Row],[Loan Amount]])</f>
        <v>1725.5936000808176</v>
      </c>
    </row>
    <row r="91" spans="1:28" ht="17.25" x14ac:dyDescent="0.3">
      <c r="A91" s="41">
        <v>90</v>
      </c>
      <c r="B91" s="48" t="str">
        <f>LOWER(_xlfn.CONCAT(EmployeeTable3[[#This Row],[First Name]],".",EmployeeTable3[[#This Row],[Last Name]],"@company.com"))</f>
        <v>henry.green@company.com</v>
      </c>
      <c r="C91" s="42" t="s">
        <v>40</v>
      </c>
      <c r="D91" s="42" t="s">
        <v>48</v>
      </c>
      <c r="E91" s="42" t="s">
        <v>49</v>
      </c>
      <c r="F91" s="50" t="str">
        <f>LEFT(EmployeeTable3[[#This Row],[First Name]],4)</f>
        <v>Henr</v>
      </c>
      <c r="G91" s="42"/>
      <c r="H91" s="42" t="s">
        <v>34</v>
      </c>
      <c r="I91" s="57" t="str">
        <f t="shared" si="5"/>
        <v>323-9665568</v>
      </c>
      <c r="J91" s="43" t="s">
        <v>35</v>
      </c>
      <c r="K91" s="44" t="s">
        <v>181</v>
      </c>
      <c r="L91" s="52" t="str">
        <f>TEXT(EmployeeTable3[[#This Row],[Joining Date]],"MM-DD-YYYY")</f>
        <v>01-11-2022</v>
      </c>
      <c r="M91" s="45">
        <v>106644</v>
      </c>
      <c r="N91" s="81" t="s">
        <v>120</v>
      </c>
      <c r="O91" s="42" t="s">
        <v>54</v>
      </c>
      <c r="P91" s="42">
        <v>3.3</v>
      </c>
      <c r="Q91" s="53" t="str">
        <f>IF(EmployeeTable3[[#This Row],[Performance Rating]]&gt;=_xlfn.PERCENTILE.INC(EmployeeTable3[Performance Rating],0.9),"Top 10%","Not Top 10%")</f>
        <v>Not Top 10%</v>
      </c>
      <c r="R91" s="46">
        <v>17787</v>
      </c>
      <c r="S91" s="46">
        <v>16776</v>
      </c>
      <c r="T91" s="42">
        <v>3.13</v>
      </c>
      <c r="U91" s="42">
        <v>27</v>
      </c>
      <c r="V91" s="62">
        <f>NPV(0.05,EmployeeTable3[[#This Row],[Monthly Sales]])</f>
        <v>16940</v>
      </c>
      <c r="W91" s="42" t="s">
        <v>63</v>
      </c>
      <c r="X91" s="53" t="str">
        <f t="shared" si="6"/>
        <v>N</v>
      </c>
      <c r="Y91" s="50" t="str">
        <f>_xlfn.CONCAT(EmployeeTable3[[#This Row],[Region Code]],EmployeeTable3[[#This Row],[Employee ID]],EmployeeTable3[[#This Row],[First Name]],EmployeeTable3[[#This Row],[Last Name]])</f>
        <v>N90HenryGreen</v>
      </c>
      <c r="Z91" s="55" t="str">
        <f>IF(AND(EmployeeTable3[[#This Row],[Performance Rating]]&gt;=4, EmployeeTable3[[#This Row],[Bonus]]&gt;=0.1),"Eligible","Not Eligible")</f>
        <v>Not Eligible</v>
      </c>
      <c r="AA91" s="53">
        <f t="shared" ca="1" si="7"/>
        <v>4</v>
      </c>
      <c r="AB91" s="62">
        <f>PMT((EmployeeTable3[[#This Row],[Interest Rate %]]/100)/12,EmployeeTable3[[#This Row],[Loan Term (Months)]],-EmployeeTable3[[#This Row],[Loan Amount]])</f>
        <v>644.27844951775683</v>
      </c>
    </row>
    <row r="92" spans="1:28" ht="17.25" x14ac:dyDescent="0.3">
      <c r="A92" s="41">
        <v>91</v>
      </c>
      <c r="B92" s="48" t="str">
        <f>LOWER(_xlfn.CONCAT(EmployeeTable3[[#This Row],[First Name]],".",EmployeeTable3[[#This Row],[Last Name]],"@company.com"))</f>
        <v>carol.adams@company.com</v>
      </c>
      <c r="C92" s="42" t="s">
        <v>69</v>
      </c>
      <c r="D92" s="42" t="s">
        <v>66</v>
      </c>
      <c r="E92" s="42" t="s">
        <v>108</v>
      </c>
      <c r="F92" s="50" t="str">
        <f>LEFT(EmployeeTable3[[#This Row],[First Name]],4)</f>
        <v>Caro</v>
      </c>
      <c r="G92" s="42"/>
      <c r="H92" s="42" t="s">
        <v>34</v>
      </c>
      <c r="I92" s="57" t="str">
        <f t="shared" si="5"/>
        <v>323-9665568</v>
      </c>
      <c r="J92" s="43" t="s">
        <v>35</v>
      </c>
      <c r="K92" s="44" t="s">
        <v>182</v>
      </c>
      <c r="L92" s="52" t="str">
        <f>TEXT(EmployeeTable3[[#This Row],[Joining Date]],"MM-DD-YYYY")</f>
        <v>11-09-2016</v>
      </c>
      <c r="M92" s="45">
        <v>80211</v>
      </c>
      <c r="N92" s="81">
        <v>0.18</v>
      </c>
      <c r="O92" s="42" t="s">
        <v>30</v>
      </c>
      <c r="P92" s="42">
        <v>4.5999999999999996</v>
      </c>
      <c r="Q92" s="53" t="str">
        <f>IF(EmployeeTable3[[#This Row],[Performance Rating]]&gt;=_xlfn.PERCENTILE.INC(EmployeeTable3[Performance Rating],0.9),"Top 10%","Not Top 10%")</f>
        <v>Not Top 10%</v>
      </c>
      <c r="R92" s="46">
        <v>17795</v>
      </c>
      <c r="S92" s="46">
        <v>16910</v>
      </c>
      <c r="T92" s="42">
        <v>3.67</v>
      </c>
      <c r="U92" s="42">
        <v>18</v>
      </c>
      <c r="V92" s="62">
        <f>NPV(0.05,EmployeeTable3[[#This Row],[Monthly Sales]])</f>
        <v>16947.619047619046</v>
      </c>
      <c r="W92" s="42" t="s">
        <v>31</v>
      </c>
      <c r="X92" s="53" t="str">
        <f t="shared" si="6"/>
        <v>S</v>
      </c>
      <c r="Y92" s="50" t="str">
        <f>_xlfn.CONCAT(EmployeeTable3[[#This Row],[Region Code]],EmployeeTable3[[#This Row],[Employee ID]],EmployeeTable3[[#This Row],[First Name]],EmployeeTable3[[#This Row],[Last Name]])</f>
        <v>S91CarolAdams</v>
      </c>
      <c r="Z92" s="55" t="str">
        <f>IF(AND(EmployeeTable3[[#This Row],[Performance Rating]]&gt;=4, EmployeeTable3[[#This Row],[Bonus]]&gt;=0.1),"Eligible","Not Eligible")</f>
        <v>Eligible</v>
      </c>
      <c r="AA92" s="53">
        <f t="shared" ca="1" si="7"/>
        <v>9</v>
      </c>
      <c r="AB92" s="62">
        <f>PMT((EmployeeTable3[[#This Row],[Interest Rate %]]/100)/12,EmployeeTable3[[#This Row],[Loan Term (Months)]],-EmployeeTable3[[#This Row],[Loan Amount]])</f>
        <v>966.97536385346098</v>
      </c>
    </row>
    <row r="93" spans="1:28" ht="17.25" x14ac:dyDescent="0.3">
      <c r="A93" s="41">
        <v>92</v>
      </c>
      <c r="B93" s="48" t="str">
        <f>LOWER(_xlfn.CONCAT(EmployeeTable3[[#This Row],[First Name]],".",EmployeeTable3[[#This Row],[Last Name]],"@company.com"))</f>
        <v>david.brown@company.com</v>
      </c>
      <c r="C93" s="42" t="s">
        <v>23</v>
      </c>
      <c r="D93" s="42" t="s">
        <v>32</v>
      </c>
      <c r="E93" s="42" t="s">
        <v>57</v>
      </c>
      <c r="F93" s="50" t="str">
        <f>LEFT(EmployeeTable3[[#This Row],[First Name]],4)</f>
        <v>Davi</v>
      </c>
      <c r="G93" s="42"/>
      <c r="H93" s="42" t="s">
        <v>58</v>
      </c>
      <c r="I93" s="57" t="str">
        <f t="shared" si="5"/>
        <v>323-8552214</v>
      </c>
      <c r="J93" s="43" t="s">
        <v>59</v>
      </c>
      <c r="K93" s="44" t="s">
        <v>183</v>
      </c>
      <c r="L93" s="52" t="str">
        <f>TEXT(EmployeeTable3[[#This Row],[Joining Date]],"MM-DD-YYYY")</f>
        <v>10-08-2019</v>
      </c>
      <c r="M93" s="45">
        <v>106615</v>
      </c>
      <c r="N93" s="81" t="s">
        <v>129</v>
      </c>
      <c r="O93" s="42" t="s">
        <v>38</v>
      </c>
      <c r="P93" s="42">
        <v>4.3</v>
      </c>
      <c r="Q93" s="53" t="str">
        <f>IF(EmployeeTable3[[#This Row],[Performance Rating]]&gt;=_xlfn.PERCENTILE.INC(EmployeeTable3[Performance Rating],0.9),"Top 10%","Not Top 10%")</f>
        <v>Not Top 10%</v>
      </c>
      <c r="R93" s="46">
        <v>18023</v>
      </c>
      <c r="S93" s="46">
        <v>90356</v>
      </c>
      <c r="T93" s="42">
        <v>4.5999999999999996</v>
      </c>
      <c r="U93" s="42">
        <v>34</v>
      </c>
      <c r="V93" s="62">
        <f>NPV(0.05,EmployeeTable3[[#This Row],[Monthly Sales]])</f>
        <v>17164.761904761905</v>
      </c>
      <c r="W93" s="42" t="s">
        <v>92</v>
      </c>
      <c r="X93" s="53" t="str">
        <f t="shared" si="6"/>
        <v>W</v>
      </c>
      <c r="Y93" s="50" t="str">
        <f>_xlfn.CONCAT(EmployeeTable3[[#This Row],[Region Code]],EmployeeTable3[[#This Row],[Employee ID]],EmployeeTable3[[#This Row],[First Name]],EmployeeTable3[[#This Row],[Last Name]])</f>
        <v>W92DavidBrown</v>
      </c>
      <c r="Z93" s="55" t="str">
        <f>IF(AND(EmployeeTable3[[#This Row],[Performance Rating]]&gt;=4, EmployeeTable3[[#This Row],[Bonus]]&gt;=0.1),"Eligible","Not Eligible")</f>
        <v>Eligible</v>
      </c>
      <c r="AA93" s="53">
        <f t="shared" ca="1" si="7"/>
        <v>6</v>
      </c>
      <c r="AB93" s="62">
        <f>PMT((EmployeeTable3[[#This Row],[Interest Rate %]]/100)/12,EmployeeTable3[[#This Row],[Loan Term (Months)]],-EmployeeTable3[[#This Row],[Loan Amount]])</f>
        <v>2839.5557497803716</v>
      </c>
    </row>
    <row r="94" spans="1:28" ht="17.25" x14ac:dyDescent="0.3">
      <c r="A94" s="41">
        <v>93</v>
      </c>
      <c r="B94" s="48" t="str">
        <f>LOWER(_xlfn.CONCAT(EmployeeTable3[[#This Row],[First Name]],".",EmployeeTable3[[#This Row],[Last Name]],"@company.com"))</f>
        <v>frank.brown@company.com</v>
      </c>
      <c r="C94" s="42" t="s">
        <v>47</v>
      </c>
      <c r="D94" s="42" t="s">
        <v>56</v>
      </c>
      <c r="E94" s="42" t="s">
        <v>57</v>
      </c>
      <c r="F94" s="50" t="str">
        <f>LEFT(EmployeeTable3[[#This Row],[First Name]],4)</f>
        <v>Fran</v>
      </c>
      <c r="G94" s="42"/>
      <c r="H94" s="42" t="s">
        <v>101</v>
      </c>
      <c r="I94" s="57" t="str">
        <f t="shared" si="5"/>
        <v>323-5857874</v>
      </c>
      <c r="J94" s="43" t="s">
        <v>102</v>
      </c>
      <c r="K94" s="44" t="s">
        <v>184</v>
      </c>
      <c r="L94" s="52" t="str">
        <f>TEXT(EmployeeTable3[[#This Row],[Joining Date]],"MM-DD-YYYY")</f>
        <v>10-23-2015</v>
      </c>
      <c r="M94" s="45">
        <v>119285</v>
      </c>
      <c r="N94" s="81" t="s">
        <v>89</v>
      </c>
      <c r="O94" s="42" t="s">
        <v>62</v>
      </c>
      <c r="P94" s="42">
        <v>4.0999999999999996</v>
      </c>
      <c r="Q94" s="53" t="str">
        <f>IF(EmployeeTable3[[#This Row],[Performance Rating]]&gt;=_xlfn.PERCENTILE.INC(EmployeeTable3[Performance Rating],0.9),"Top 10%","Not Top 10%")</f>
        <v>Not Top 10%</v>
      </c>
      <c r="R94" s="46">
        <v>18216</v>
      </c>
      <c r="S94" s="46">
        <v>60859</v>
      </c>
      <c r="T94" s="42">
        <v>6.87</v>
      </c>
      <c r="U94" s="42">
        <v>27</v>
      </c>
      <c r="V94" s="62">
        <f>NPV(0.05,EmployeeTable3[[#This Row],[Monthly Sales]])</f>
        <v>17348.571428571428</v>
      </c>
      <c r="W94" s="42" t="s">
        <v>75</v>
      </c>
      <c r="X94" s="53" t="str">
        <f t="shared" si="6"/>
        <v>E</v>
      </c>
      <c r="Y94" s="50" t="str">
        <f>_xlfn.CONCAT(EmployeeTable3[[#This Row],[Region Code]],EmployeeTable3[[#This Row],[Employee ID]],EmployeeTable3[[#This Row],[First Name]],EmployeeTable3[[#This Row],[Last Name]])</f>
        <v>E93FrankBrown</v>
      </c>
      <c r="Z94" s="55" t="str">
        <f>IF(AND(EmployeeTable3[[#This Row],[Performance Rating]]&gt;=4, EmployeeTable3[[#This Row],[Bonus]]&gt;=0.1),"Eligible","Not Eligible")</f>
        <v>Eligible</v>
      </c>
      <c r="AA94" s="53">
        <f t="shared" ca="1" si="7"/>
        <v>10</v>
      </c>
      <c r="AB94" s="62">
        <f>PMT((EmployeeTable3[[#This Row],[Interest Rate %]]/100)/12,EmployeeTable3[[#This Row],[Loan Term (Months)]],-EmployeeTable3[[#This Row],[Loan Amount]])</f>
        <v>2439.1654538814614</v>
      </c>
    </row>
    <row r="95" spans="1:28" ht="17.25" x14ac:dyDescent="0.3">
      <c r="A95" s="41">
        <v>94</v>
      </c>
      <c r="B95" s="48" t="str">
        <f>LOWER(_xlfn.CONCAT(EmployeeTable3[[#This Row],[First Name]],".",EmployeeTable3[[#This Row],[Last Name]],"@company.com"))</f>
        <v>isla.brown@company.com</v>
      </c>
      <c r="C95" s="42" t="s">
        <v>47</v>
      </c>
      <c r="D95" s="42" t="s">
        <v>87</v>
      </c>
      <c r="E95" s="42" t="s">
        <v>57</v>
      </c>
      <c r="F95" s="50" t="str">
        <f>LEFT(EmployeeTable3[[#This Row],[First Name]],4)</f>
        <v>Isla</v>
      </c>
      <c r="G95" s="42"/>
      <c r="H95" s="42" t="s">
        <v>101</v>
      </c>
      <c r="I95" s="57" t="str">
        <f t="shared" si="5"/>
        <v>323-5857874</v>
      </c>
      <c r="J95" s="43" t="s">
        <v>102</v>
      </c>
      <c r="K95" s="44" t="s">
        <v>185</v>
      </c>
      <c r="L95" s="52" t="str">
        <f>TEXT(EmployeeTable3[[#This Row],[Joining Date]],"MM-DD-YYYY")</f>
        <v>04-21-2021</v>
      </c>
      <c r="M95" s="45">
        <v>90622</v>
      </c>
      <c r="N95" s="81" t="s">
        <v>68</v>
      </c>
      <c r="O95" s="42" t="s">
        <v>54</v>
      </c>
      <c r="P95" s="42">
        <v>4.0999999999999996</v>
      </c>
      <c r="Q95" s="53" t="str">
        <f>IF(EmployeeTable3[[#This Row],[Performance Rating]]&gt;=_xlfn.PERCENTILE.INC(EmployeeTable3[Performance Rating],0.9),"Top 10%","Not Top 10%")</f>
        <v>Not Top 10%</v>
      </c>
      <c r="R95" s="46">
        <v>18448</v>
      </c>
      <c r="S95" s="46">
        <v>97092</v>
      </c>
      <c r="T95" s="42">
        <v>5.32</v>
      </c>
      <c r="U95" s="42">
        <v>37</v>
      </c>
      <c r="V95" s="62">
        <f>NPV(0.05,EmployeeTable3[[#This Row],[Monthly Sales]])</f>
        <v>17569.523809523809</v>
      </c>
      <c r="W95" s="42" t="s">
        <v>92</v>
      </c>
      <c r="X95" s="53" t="str">
        <f t="shared" si="6"/>
        <v>N</v>
      </c>
      <c r="Y95" s="50" t="str">
        <f>_xlfn.CONCAT(EmployeeTable3[[#This Row],[Region Code]],EmployeeTable3[[#This Row],[Employee ID]],EmployeeTable3[[#This Row],[First Name]],EmployeeTable3[[#This Row],[Last Name]])</f>
        <v>N94IslaBrown</v>
      </c>
      <c r="Z95" s="55" t="str">
        <f>IF(AND(EmployeeTable3[[#This Row],[Performance Rating]]&gt;=4, EmployeeTable3[[#This Row],[Bonus]]&gt;=0.1),"Eligible","Not Eligible")</f>
        <v>Eligible</v>
      </c>
      <c r="AA95" s="53">
        <f t="shared" ca="1" si="7"/>
        <v>5</v>
      </c>
      <c r="AB95" s="62">
        <f>PMT((EmployeeTable3[[#This Row],[Interest Rate %]]/100)/12,EmployeeTable3[[#This Row],[Loan Term (Months)]],-EmployeeTable3[[#This Row],[Loan Amount]])</f>
        <v>2851.0094609979392</v>
      </c>
    </row>
    <row r="96" spans="1:28" ht="17.25" x14ac:dyDescent="0.3">
      <c r="A96" s="41">
        <v>95</v>
      </c>
      <c r="B96" s="48" t="str">
        <f>LOWER(_xlfn.CONCAT(EmployeeTable3[[#This Row],[First Name]],".",EmployeeTable3[[#This Row],[Last Name]],"@company.com"))</f>
        <v>david.davis@company.com</v>
      </c>
      <c r="C96" s="42" t="s">
        <v>40</v>
      </c>
      <c r="D96" s="42" t="s">
        <v>32</v>
      </c>
      <c r="E96" s="42" t="s">
        <v>76</v>
      </c>
      <c r="F96" s="50" t="str">
        <f>LEFT(EmployeeTable3[[#This Row],[First Name]],4)</f>
        <v>Davi</v>
      </c>
      <c r="G96" s="42"/>
      <c r="H96" s="42" t="s">
        <v>58</v>
      </c>
      <c r="I96" s="57" t="str">
        <f t="shared" si="5"/>
        <v>323-8552214</v>
      </c>
      <c r="J96" s="43" t="s">
        <v>59</v>
      </c>
      <c r="K96" s="44" t="s">
        <v>186</v>
      </c>
      <c r="L96" s="52" t="str">
        <f>TEXT(EmployeeTable3[[#This Row],[Joining Date]],"MM-DD-YYYY")</f>
        <v>02-10-2022</v>
      </c>
      <c r="M96" s="45">
        <v>69868</v>
      </c>
      <c r="N96" s="81" t="s">
        <v>82</v>
      </c>
      <c r="O96" s="42" t="s">
        <v>54</v>
      </c>
      <c r="P96" s="42">
        <v>4</v>
      </c>
      <c r="Q96" s="53" t="str">
        <f>IF(EmployeeTable3[[#This Row],[Performance Rating]]&gt;=_xlfn.PERCENTILE.INC(EmployeeTable3[Performance Rating],0.9),"Top 10%","Not Top 10%")</f>
        <v>Not Top 10%</v>
      </c>
      <c r="R96" s="46">
        <v>18850</v>
      </c>
      <c r="S96" s="46">
        <v>60015</v>
      </c>
      <c r="T96" s="42">
        <v>8.15</v>
      </c>
      <c r="U96" s="42">
        <v>57</v>
      </c>
      <c r="V96" s="62">
        <f>NPV(0.05,EmployeeTable3[[#This Row],[Monthly Sales]])</f>
        <v>17952.38095238095</v>
      </c>
      <c r="W96" s="42" t="s">
        <v>31</v>
      </c>
      <c r="X96" s="53" t="str">
        <f t="shared" si="6"/>
        <v>N</v>
      </c>
      <c r="Y96" s="50" t="str">
        <f>_xlfn.CONCAT(EmployeeTable3[[#This Row],[Region Code]],EmployeeTable3[[#This Row],[Employee ID]],EmployeeTable3[[#This Row],[First Name]],EmployeeTable3[[#This Row],[Last Name]])</f>
        <v>N95DavidDavis</v>
      </c>
      <c r="Z96" s="55" t="str">
        <f>IF(AND(EmployeeTable3[[#This Row],[Performance Rating]]&gt;=4, EmployeeTable3[[#This Row],[Bonus]]&gt;=0.1),"Eligible","Not Eligible")</f>
        <v>Eligible</v>
      </c>
      <c r="AA96" s="53">
        <f t="shared" ca="1" si="7"/>
        <v>4</v>
      </c>
      <c r="AB96" s="62">
        <f>PMT((EmployeeTable3[[#This Row],[Interest Rate %]]/100)/12,EmployeeTable3[[#This Row],[Loan Term (Months)]],-EmployeeTable3[[#This Row],[Loan Amount]])</f>
        <v>1273.3396528094336</v>
      </c>
    </row>
    <row r="97" spans="1:28" ht="17.25" x14ac:dyDescent="0.3">
      <c r="A97" s="41">
        <v>96</v>
      </c>
      <c r="B97" s="48" t="str">
        <f>LOWER(_xlfn.CONCAT(EmployeeTable3[[#This Row],[First Name]],".",EmployeeTable3[[#This Row],[Last Name]],"@company.com"))</f>
        <v>bob.green@company.com</v>
      </c>
      <c r="C97" s="42" t="s">
        <v>55</v>
      </c>
      <c r="D97" s="42" t="s">
        <v>24</v>
      </c>
      <c r="E97" s="42" t="s">
        <v>49</v>
      </c>
      <c r="F97" s="50" t="str">
        <f>LEFT(EmployeeTable3[[#This Row],[First Name]],4)</f>
        <v>Bob</v>
      </c>
      <c r="G97" s="42"/>
      <c r="H97" s="42" t="s">
        <v>58</v>
      </c>
      <c r="I97" s="57" t="str">
        <f t="shared" si="5"/>
        <v>323-8552214</v>
      </c>
      <c r="J97" s="43" t="s">
        <v>59</v>
      </c>
      <c r="K97" s="44" t="s">
        <v>187</v>
      </c>
      <c r="L97" s="52" t="str">
        <f>TEXT(EmployeeTable3[[#This Row],[Joining Date]],"MM-DD-YYYY")</f>
        <v>11-06-2019</v>
      </c>
      <c r="M97" s="45">
        <v>116349</v>
      </c>
      <c r="N97" s="81" t="s">
        <v>113</v>
      </c>
      <c r="O97" s="42" t="s">
        <v>30</v>
      </c>
      <c r="P97" s="42">
        <v>3.1</v>
      </c>
      <c r="Q97" s="53" t="str">
        <f>IF(EmployeeTable3[[#This Row],[Performance Rating]]&gt;=_xlfn.PERCENTILE.INC(EmployeeTable3[Performance Rating],0.9),"Top 10%","Not Top 10%")</f>
        <v>Not Top 10%</v>
      </c>
      <c r="R97" s="46">
        <v>19159</v>
      </c>
      <c r="S97" s="46">
        <v>65016</v>
      </c>
      <c r="T97" s="42">
        <v>6.46</v>
      </c>
      <c r="U97" s="42">
        <v>24</v>
      </c>
      <c r="V97" s="62">
        <f>NPV(0.05,EmployeeTable3[[#This Row],[Monthly Sales]])</f>
        <v>18246.666666666664</v>
      </c>
      <c r="W97" s="42" t="s">
        <v>92</v>
      </c>
      <c r="X97" s="53" t="str">
        <f t="shared" si="6"/>
        <v>S</v>
      </c>
      <c r="Y97" s="50" t="str">
        <f>_xlfn.CONCAT(EmployeeTable3[[#This Row],[Region Code]],EmployeeTable3[[#This Row],[Employee ID]],EmployeeTable3[[#This Row],[First Name]],EmployeeTable3[[#This Row],[Last Name]])</f>
        <v>S96BobGreen</v>
      </c>
      <c r="Z97" s="55" t="str">
        <f>IF(AND(EmployeeTable3[[#This Row],[Performance Rating]]&gt;=4, EmployeeTable3[[#This Row],[Bonus]]&gt;=0.1),"Eligible","Not Eligible")</f>
        <v>Not Eligible</v>
      </c>
      <c r="AA97" s="53">
        <f t="shared" ca="1" si="7"/>
        <v>6</v>
      </c>
      <c r="AB97" s="62">
        <f>PMT((EmployeeTable3[[#This Row],[Interest Rate %]]/100)/12,EmployeeTable3[[#This Row],[Loan Term (Months)]],-EmployeeTable3[[#This Row],[Loan Amount]])</f>
        <v>2895.0438172351855</v>
      </c>
    </row>
    <row r="98" spans="1:28" ht="17.25" x14ac:dyDescent="0.3">
      <c r="A98" s="41">
        <v>97</v>
      </c>
      <c r="B98" s="48" t="str">
        <f>LOWER(_xlfn.CONCAT(EmployeeTable3[[#This Row],[First Name]],".",EmployeeTable3[[#This Row],[Last Name]],"@company.com"))</f>
        <v>isla.johnson@company.com</v>
      </c>
      <c r="C98" s="42" t="s">
        <v>47</v>
      </c>
      <c r="D98" s="42" t="s">
        <v>87</v>
      </c>
      <c r="E98" s="42" t="s">
        <v>73</v>
      </c>
      <c r="F98" s="50" t="str">
        <f>LEFT(EmployeeTable3[[#This Row],[First Name]],4)</f>
        <v>Isla</v>
      </c>
      <c r="G98" s="42"/>
      <c r="H98" s="42" t="s">
        <v>79</v>
      </c>
      <c r="I98" s="57" t="str">
        <f t="shared" ref="I98:I101" si="8">REPLACE(H98,1,3,"323")</f>
        <v>323-5558898</v>
      </c>
      <c r="J98" s="43" t="s">
        <v>80</v>
      </c>
      <c r="K98" s="44" t="s">
        <v>188</v>
      </c>
      <c r="L98" s="52" t="str">
        <f>TEXT(EmployeeTable3[[#This Row],[Joining Date]],"MM-DD-YYYY")</f>
        <v>05-31-2020</v>
      </c>
      <c r="M98" s="45">
        <v>61391</v>
      </c>
      <c r="N98" s="81" t="s">
        <v>115</v>
      </c>
      <c r="O98" s="42" t="s">
        <v>54</v>
      </c>
      <c r="P98" s="42">
        <v>3</v>
      </c>
      <c r="Q98" s="53" t="str">
        <f>IF(EmployeeTable3[[#This Row],[Performance Rating]]&gt;=_xlfn.PERCENTILE.INC(EmployeeTable3[Performance Rating],0.9),"Top 10%","Not Top 10%")</f>
        <v>Not Top 10%</v>
      </c>
      <c r="R98" s="46">
        <v>19262</v>
      </c>
      <c r="S98" s="46">
        <v>95616</v>
      </c>
      <c r="T98" s="42">
        <v>3.31</v>
      </c>
      <c r="U98" s="42">
        <v>27</v>
      </c>
      <c r="V98" s="62">
        <f>NPV(0.05,EmployeeTable3[[#This Row],[Monthly Sales]])</f>
        <v>18344.761904761905</v>
      </c>
      <c r="W98" s="42" t="s">
        <v>104</v>
      </c>
      <c r="X98" s="53" t="str">
        <f t="shared" si="6"/>
        <v>N</v>
      </c>
      <c r="Y98" s="50" t="str">
        <f>_xlfn.CONCAT(EmployeeTable3[[#This Row],[Region Code]],EmployeeTable3[[#This Row],[Employee ID]],EmployeeTable3[[#This Row],[First Name]],EmployeeTable3[[#This Row],[Last Name]])</f>
        <v>N97IslaJohnson</v>
      </c>
      <c r="Z98" s="55" t="str">
        <f>IF(AND(EmployeeTable3[[#This Row],[Performance Rating]]&gt;=4, EmployeeTable3[[#This Row],[Bonus]]&gt;=0.1),"Eligible","Not Eligible")</f>
        <v>Not Eligible</v>
      </c>
      <c r="AA98" s="53">
        <f t="shared" ca="1" si="7"/>
        <v>5</v>
      </c>
      <c r="AB98" s="62">
        <f>PMT((EmployeeTable3[[#This Row],[Interest Rate %]]/100)/12,EmployeeTable3[[#This Row],[Loan Term (Months)]],-EmployeeTable3[[#This Row],[Loan Amount]])</f>
        <v>3679.7200173258188</v>
      </c>
    </row>
    <row r="99" spans="1:28" ht="17.25" x14ac:dyDescent="0.3">
      <c r="A99" s="41">
        <v>98</v>
      </c>
      <c r="B99" s="48" t="str">
        <f>LOWER(_xlfn.CONCAT(EmployeeTable3[[#This Row],[First Name]],".",EmployeeTable3[[#This Row],[Last Name]],"@company.com"))</f>
        <v>david.smith@company.com</v>
      </c>
      <c r="C99" s="42" t="s">
        <v>69</v>
      </c>
      <c r="D99" s="42" t="s">
        <v>32</v>
      </c>
      <c r="E99" s="42" t="s">
        <v>71</v>
      </c>
      <c r="F99" s="50" t="str">
        <f>LEFT(EmployeeTable3[[#This Row],[First Name]],4)</f>
        <v>Davi</v>
      </c>
      <c r="G99" s="42"/>
      <c r="H99" s="42" t="s">
        <v>83</v>
      </c>
      <c r="I99" s="57" t="str">
        <f t="shared" si="8"/>
        <v>323-5665569</v>
      </c>
      <c r="J99" s="43" t="s">
        <v>84</v>
      </c>
      <c r="K99" s="44" t="s">
        <v>189</v>
      </c>
      <c r="L99" s="52" t="str">
        <f>TEXT(EmployeeTable3[[#This Row],[Joining Date]],"MM-DD-YYYY")</f>
        <v>07-18-2021</v>
      </c>
      <c r="M99" s="45">
        <v>88680</v>
      </c>
      <c r="N99" s="81" t="s">
        <v>91</v>
      </c>
      <c r="O99" s="42" t="s">
        <v>30</v>
      </c>
      <c r="P99" s="42">
        <v>3.5</v>
      </c>
      <c r="Q99" s="53" t="str">
        <f>IF(EmployeeTable3[[#This Row],[Performance Rating]]&gt;=_xlfn.PERCENTILE.INC(EmployeeTable3[Performance Rating],0.9),"Top 10%","Not Top 10%")</f>
        <v>Not Top 10%</v>
      </c>
      <c r="R99" s="46">
        <v>19412</v>
      </c>
      <c r="S99" s="46">
        <v>21411</v>
      </c>
      <c r="T99" s="42">
        <v>7.28</v>
      </c>
      <c r="U99" s="42">
        <v>45</v>
      </c>
      <c r="V99" s="62">
        <f>NPV(0.05,EmployeeTable3[[#This Row],[Monthly Sales]])</f>
        <v>18487.619047619046</v>
      </c>
      <c r="W99" s="42" t="s">
        <v>46</v>
      </c>
      <c r="X99" s="53" t="str">
        <f t="shared" si="6"/>
        <v>S</v>
      </c>
      <c r="Y99" s="50" t="str">
        <f>_xlfn.CONCAT(EmployeeTable3[[#This Row],[Region Code]],EmployeeTable3[[#This Row],[Employee ID]],EmployeeTable3[[#This Row],[First Name]],EmployeeTable3[[#This Row],[Last Name]])</f>
        <v>S98DavidSmith</v>
      </c>
      <c r="Z99" s="55" t="str">
        <f>IF(AND(EmployeeTable3[[#This Row],[Performance Rating]]&gt;=4, EmployeeTable3[[#This Row],[Bonus]]&gt;=0.1),"Eligible","Not Eligible")</f>
        <v>Not Eligible</v>
      </c>
      <c r="AA99" s="53">
        <f t="shared" ca="1" si="7"/>
        <v>4</v>
      </c>
      <c r="AB99" s="62">
        <f>PMT((EmployeeTable3[[#This Row],[Interest Rate %]]/100)/12,EmployeeTable3[[#This Row],[Loan Term (Months)]],-EmployeeTable3[[#This Row],[Loan Amount]])</f>
        <v>545.13102125113824</v>
      </c>
    </row>
    <row r="100" spans="1:28" ht="17.25" x14ac:dyDescent="0.3">
      <c r="A100" s="41">
        <v>99</v>
      </c>
      <c r="B100" s="48" t="str">
        <f>LOWER(_xlfn.CONCAT(EmployeeTable3[[#This Row],[First Name]],".",EmployeeTable3[[#This Row],[Last Name]],"@company.com"))</f>
        <v>bob.johnson@company.com</v>
      </c>
      <c r="C100" s="42" t="s">
        <v>55</v>
      </c>
      <c r="D100" s="42" t="s">
        <v>24</v>
      </c>
      <c r="E100" s="42" t="s">
        <v>73</v>
      </c>
      <c r="F100" s="50" t="str">
        <f>LEFT(EmployeeTable3[[#This Row],[First Name]],4)</f>
        <v>Bob</v>
      </c>
      <c r="G100" s="42"/>
      <c r="H100" s="42" t="s">
        <v>42</v>
      </c>
      <c r="I100" s="57" t="str">
        <f t="shared" si="8"/>
        <v>323-5699987</v>
      </c>
      <c r="J100" s="43" t="s">
        <v>43</v>
      </c>
      <c r="K100" s="44" t="s">
        <v>190</v>
      </c>
      <c r="L100" s="52" t="str">
        <f>TEXT(EmployeeTable3[[#This Row],[Joining Date]],"MM-DD-YYYY")</f>
        <v>06-04-2017</v>
      </c>
      <c r="M100" s="45">
        <v>59286</v>
      </c>
      <c r="N100" s="81" t="s">
        <v>91</v>
      </c>
      <c r="O100" s="42" t="s">
        <v>62</v>
      </c>
      <c r="P100" s="42">
        <v>3.8</v>
      </c>
      <c r="Q100" s="53" t="str">
        <f>IF(EmployeeTable3[[#This Row],[Performance Rating]]&gt;=_xlfn.PERCENTILE.INC(EmployeeTable3[Performance Rating],0.9),"Top 10%","Not Top 10%")</f>
        <v>Not Top 10%</v>
      </c>
      <c r="R100" s="46">
        <v>19568</v>
      </c>
      <c r="S100" s="46">
        <v>85450</v>
      </c>
      <c r="T100" s="42">
        <v>9.18</v>
      </c>
      <c r="U100" s="42">
        <v>36</v>
      </c>
      <c r="V100" s="62">
        <f>NPV(0.05,EmployeeTable3[[#This Row],[Monthly Sales]])</f>
        <v>18636.190476190477</v>
      </c>
      <c r="W100" s="42" t="s">
        <v>46</v>
      </c>
      <c r="X100" s="53" t="str">
        <f t="shared" si="6"/>
        <v>E</v>
      </c>
      <c r="Y100" s="50" t="str">
        <f>_xlfn.CONCAT(EmployeeTable3[[#This Row],[Region Code]],EmployeeTable3[[#This Row],[Employee ID]],EmployeeTable3[[#This Row],[First Name]],EmployeeTable3[[#This Row],[Last Name]])</f>
        <v>E99BobJohnson</v>
      </c>
      <c r="Z100" s="55" t="str">
        <f>IF(AND(EmployeeTable3[[#This Row],[Performance Rating]]&gt;=4, EmployeeTable3[[#This Row],[Bonus]]&gt;=0.1),"Eligible","Not Eligible")</f>
        <v>Not Eligible</v>
      </c>
      <c r="AA100" s="53">
        <f t="shared" ca="1" si="7"/>
        <v>8</v>
      </c>
      <c r="AB100" s="62">
        <f>PMT((EmployeeTable3[[#This Row],[Interest Rate %]]/100)/12,EmployeeTable3[[#This Row],[Loan Term (Months)]],-EmployeeTable3[[#This Row],[Loan Amount]])</f>
        <v>2724.4513272519298</v>
      </c>
    </row>
    <row r="101" spans="1:28" ht="17.25" x14ac:dyDescent="0.3">
      <c r="A101" s="41">
        <v>100</v>
      </c>
      <c r="B101" s="48" t="str">
        <f>LOWER(_xlfn.CONCAT(EmployeeTable3[[#This Row],[First Name]],".",EmployeeTable3[[#This Row],[Last Name]],"@company.com"))</f>
        <v>david.johnson@company.com</v>
      </c>
      <c r="C101" s="42" t="s">
        <v>69</v>
      </c>
      <c r="D101" s="42" t="s">
        <v>32</v>
      </c>
      <c r="E101" s="42" t="s">
        <v>73</v>
      </c>
      <c r="F101" s="50" t="str">
        <f>LEFT(EmployeeTable3[[#This Row],[First Name]],4)</f>
        <v>Davi</v>
      </c>
      <c r="G101" s="42"/>
      <c r="H101" s="42" t="s">
        <v>42</v>
      </c>
      <c r="I101" s="57" t="str">
        <f t="shared" si="8"/>
        <v>323-5699987</v>
      </c>
      <c r="J101" s="43" t="s">
        <v>43</v>
      </c>
      <c r="K101" s="44" t="s">
        <v>191</v>
      </c>
      <c r="L101" s="52" t="str">
        <f>TEXT(EmployeeTable3[[#This Row],[Joining Date]],"MM-DD-YYYY")</f>
        <v>03-15-2019</v>
      </c>
      <c r="M101" s="45">
        <v>111329</v>
      </c>
      <c r="N101" s="81" t="s">
        <v>37</v>
      </c>
      <c r="O101" s="42" t="s">
        <v>62</v>
      </c>
      <c r="P101" s="42">
        <v>3.9</v>
      </c>
      <c r="Q101" s="53" t="str">
        <f>IF(EmployeeTable3[[#This Row],[Performance Rating]]&gt;=_xlfn.PERCENTILE.INC(EmployeeTable3[Performance Rating],0.9),"Top 10%","Not Top 10%")</f>
        <v>Not Top 10%</v>
      </c>
      <c r="R101" s="46">
        <v>19912</v>
      </c>
      <c r="S101" s="46">
        <v>35939</v>
      </c>
      <c r="T101" s="42">
        <v>8.9600000000000009</v>
      </c>
      <c r="U101" s="42">
        <v>44</v>
      </c>
      <c r="V101" s="62">
        <f>NPV(0.05,EmployeeTable3[[#This Row],[Monthly Sales]])</f>
        <v>18963.809523809523</v>
      </c>
      <c r="W101" s="42" t="s">
        <v>39</v>
      </c>
      <c r="X101" s="53" t="str">
        <f t="shared" si="6"/>
        <v>E</v>
      </c>
      <c r="Y101" s="50" t="str">
        <f>_xlfn.CONCAT(EmployeeTable3[[#This Row],[Region Code]],EmployeeTable3[[#This Row],[Employee ID]],EmployeeTable3[[#This Row],[First Name]],EmployeeTable3[[#This Row],[Last Name]])</f>
        <v>E100DavidJohnson</v>
      </c>
      <c r="Z101" s="55" t="str">
        <f>IF(AND(EmployeeTable3[[#This Row],[Performance Rating]]&gt;=4, EmployeeTable3[[#This Row],[Bonus]]&gt;=0.1),"Eligible","Not Eligible")</f>
        <v>Not Eligible</v>
      </c>
      <c r="AA101" s="53">
        <f t="shared" ca="1" si="7"/>
        <v>7</v>
      </c>
      <c r="AB101" s="62">
        <f>PMT((EmployeeTable3[[#This Row],[Interest Rate %]]/100)/12,EmployeeTable3[[#This Row],[Loan Term (Months)]],-EmployeeTable3[[#This Row],[Loan Amount]])</f>
        <v>961.31965944592764</v>
      </c>
    </row>
    <row r="104" spans="1:28" x14ac:dyDescent="0.25">
      <c r="C104" s="86" t="s">
        <v>192</v>
      </c>
      <c r="D104" s="86"/>
      <c r="E104" s="86"/>
      <c r="F104" s="86"/>
      <c r="G104" s="86"/>
      <c r="H104" s="86"/>
      <c r="I104" s="58" t="str">
        <f>INDEX(EmployeeTable3[Region],MATCH(MAX(EmployeeTable3[Performance Rating]),EmployeeTable3[Performance Rating],0))</f>
        <v>South</v>
      </c>
      <c r="K104" s="68"/>
    </row>
    <row r="105" spans="1:28" x14ac:dyDescent="0.25">
      <c r="C105" s="87" t="s">
        <v>193</v>
      </c>
      <c r="D105" s="87"/>
      <c r="E105" s="87"/>
      <c r="F105" s="87"/>
      <c r="G105" s="87"/>
      <c r="H105" s="87"/>
      <c r="I105" s="66">
        <f>SUM(M2:M101)</f>
        <v>8224199</v>
      </c>
    </row>
    <row r="106" spans="1:28" ht="15" customHeight="1" x14ac:dyDescent="0.25">
      <c r="C106" s="87" t="s">
        <v>194</v>
      </c>
      <c r="D106" s="87"/>
      <c r="E106" s="87"/>
      <c r="F106" s="87"/>
      <c r="G106" s="87"/>
      <c r="H106" s="87"/>
      <c r="I106" s="67">
        <f>AVERAGE(EmployeeTable3[Bonus])</f>
        <v>0.18</v>
      </c>
    </row>
    <row r="107" spans="1:28" ht="15" customHeight="1" x14ac:dyDescent="0.25">
      <c r="C107" s="87" t="s">
        <v>195</v>
      </c>
      <c r="D107" s="87"/>
      <c r="E107" s="87"/>
      <c r="F107" s="87"/>
      <c r="G107" s="87"/>
      <c r="H107" s="87"/>
      <c r="I107" s="66">
        <f>MAX(EmployeeTable3[Salary])</f>
        <v>119285</v>
      </c>
    </row>
    <row r="108" spans="1:28" ht="15" customHeight="1" x14ac:dyDescent="0.25">
      <c r="C108" s="82" t="s">
        <v>196</v>
      </c>
      <c r="D108" s="83"/>
      <c r="E108" s="83"/>
      <c r="F108" s="83"/>
      <c r="G108" s="83"/>
      <c r="H108" s="84"/>
      <c r="I108" s="58">
        <f>STDEVPA(EmployeeTable3[Performance Rating])</f>
        <v>0.60419450510575834</v>
      </c>
    </row>
    <row r="109" spans="1:28" x14ac:dyDescent="0.25">
      <c r="C109" s="88" t="s">
        <v>197</v>
      </c>
      <c r="D109" s="88"/>
      <c r="E109" s="88"/>
      <c r="F109" s="88"/>
      <c r="G109" s="88"/>
      <c r="H109" s="88"/>
      <c r="I109" s="64">
        <f>STDEVPA(EmployeeTable3[Monthly Sales])</f>
        <v>5092.4716493663464</v>
      </c>
      <c r="J109" s="65"/>
    </row>
    <row r="110" spans="1:28" ht="15" customHeight="1" x14ac:dyDescent="0.25">
      <c r="C110" s="89" t="s">
        <v>198</v>
      </c>
      <c r="D110" s="90"/>
      <c r="E110" s="90"/>
      <c r="F110" s="90"/>
      <c r="G110" s="90"/>
      <c r="H110" s="91"/>
      <c r="I110" s="63">
        <f>VAR(EmployeeTable3[Monthly Sales])</f>
        <v>26195219.696565647</v>
      </c>
    </row>
    <row r="111" spans="1:28" x14ac:dyDescent="0.25">
      <c r="C111" s="89" t="s">
        <v>199</v>
      </c>
      <c r="D111" s="90"/>
      <c r="E111" s="90"/>
      <c r="F111" s="90"/>
      <c r="G111" s="90"/>
      <c r="H111" s="91"/>
      <c r="I111" s="63">
        <f>MEDIAN(EmployeeTable3[Monthly Sales])</f>
        <v>10357</v>
      </c>
    </row>
    <row r="112" spans="1:28" x14ac:dyDescent="0.25">
      <c r="C112" s="89" t="s">
        <v>200</v>
      </c>
      <c r="D112" s="90"/>
      <c r="E112" s="90"/>
      <c r="F112" s="90"/>
      <c r="G112" s="90"/>
      <c r="H112" s="91"/>
      <c r="I112" s="59" t="e">
        <f>_xlfn.MODE.SNGL(R2:R101)</f>
        <v>#N/A</v>
      </c>
    </row>
    <row r="113" spans="3:9" x14ac:dyDescent="0.25">
      <c r="C113" s="87" t="s">
        <v>201</v>
      </c>
      <c r="D113" s="87"/>
      <c r="E113" s="87"/>
      <c r="F113" s="87"/>
      <c r="G113" s="87"/>
      <c r="H113" s="87"/>
      <c r="I113" s="75">
        <f>NPV(T2,R2)-0.05</f>
        <v>253.58849765258216</v>
      </c>
    </row>
    <row r="114" spans="3:9" ht="15" customHeight="1" x14ac:dyDescent="0.25">
      <c r="C114" s="89" t="s">
        <v>202</v>
      </c>
      <c r="D114" s="90"/>
      <c r="E114" s="90"/>
      <c r="F114" s="90"/>
      <c r="G114" s="90"/>
      <c r="H114" s="91"/>
      <c r="I114" s="59">
        <f>_xlfn.PERCENTILE.INC(EmployeeTable3[Performance Rating],0.9)</f>
        <v>4.9000000000000004</v>
      </c>
    </row>
    <row r="115" spans="3:9" ht="15" customHeight="1" x14ac:dyDescent="0.25">
      <c r="C115" s="76"/>
      <c r="D115" s="76"/>
      <c r="E115" s="76"/>
      <c r="F115" s="76"/>
      <c r="G115" s="76"/>
      <c r="H115" s="76"/>
      <c r="I115" s="74"/>
    </row>
    <row r="117" spans="3:9" x14ac:dyDescent="0.25">
      <c r="C117" s="85" t="s">
        <v>209</v>
      </c>
      <c r="D117" s="85"/>
      <c r="E117" s="85"/>
      <c r="F117" s="85"/>
    </row>
    <row r="118" spans="3:9" x14ac:dyDescent="0.25">
      <c r="C118" s="69" t="str" cm="1">
        <f t="array" ref="C118:C217">IF(EmployeeTable3[Performance Percentile]="Top 10%",J2:J101,"")</f>
        <v/>
      </c>
      <c r="D118" s="69"/>
      <c r="E118" s="69"/>
      <c r="F118" s="69"/>
    </row>
    <row r="119" spans="3:9" hidden="1" x14ac:dyDescent="0.25">
      <c r="C119" s="69" t="str">
        <v/>
      </c>
      <c r="D119" s="69"/>
      <c r="E119" s="69"/>
      <c r="F119" s="69"/>
    </row>
    <row r="120" spans="3:9" hidden="1" x14ac:dyDescent="0.25">
      <c r="C120" s="69" t="str">
        <v/>
      </c>
      <c r="D120" s="69"/>
      <c r="E120" s="69"/>
      <c r="F120" s="69"/>
    </row>
    <row r="121" spans="3:9" hidden="1" x14ac:dyDescent="0.25">
      <c r="C121" s="69" t="str">
        <v/>
      </c>
      <c r="D121" s="69"/>
      <c r="E121" s="69"/>
      <c r="F121" s="69"/>
    </row>
    <row r="122" spans="3:9" hidden="1" x14ac:dyDescent="0.25">
      <c r="C122" s="69" t="str">
        <v/>
      </c>
      <c r="D122" s="69"/>
      <c r="E122" s="69"/>
      <c r="F122" s="69"/>
    </row>
    <row r="123" spans="3:9" hidden="1" x14ac:dyDescent="0.25">
      <c r="C123" s="69" t="str">
        <v/>
      </c>
      <c r="D123" s="69"/>
      <c r="E123" s="69"/>
      <c r="F123" s="69"/>
    </row>
    <row r="124" spans="3:9" hidden="1" x14ac:dyDescent="0.25">
      <c r="C124" s="69" t="str">
        <v/>
      </c>
      <c r="D124" s="69"/>
      <c r="E124" s="69"/>
      <c r="F124" s="69"/>
    </row>
    <row r="125" spans="3:9" hidden="1" x14ac:dyDescent="0.25">
      <c r="C125" s="69" t="str">
        <v/>
      </c>
      <c r="D125" s="69"/>
      <c r="E125" s="69"/>
      <c r="F125" s="69"/>
    </row>
    <row r="126" spans="3:9" hidden="1" x14ac:dyDescent="0.25">
      <c r="C126" s="69" t="str">
        <v/>
      </c>
      <c r="D126" s="69"/>
      <c r="E126" s="69"/>
      <c r="F126" s="69"/>
    </row>
    <row r="127" spans="3:9" hidden="1" x14ac:dyDescent="0.25">
      <c r="C127" s="69" t="str">
        <v/>
      </c>
      <c r="D127" s="69"/>
      <c r="E127" s="69"/>
      <c r="F127" s="69"/>
    </row>
    <row r="128" spans="3:9" x14ac:dyDescent="0.25">
      <c r="C128" s="69" t="str">
        <v>IT</v>
      </c>
      <c r="D128" s="69"/>
      <c r="E128" s="69"/>
      <c r="F128" s="69"/>
    </row>
    <row r="129" spans="3:6" hidden="1" x14ac:dyDescent="0.25">
      <c r="C129" s="69" t="str">
        <v/>
      </c>
      <c r="D129" s="69"/>
      <c r="E129" s="69"/>
      <c r="F129" s="69"/>
    </row>
    <row r="130" spans="3:6" x14ac:dyDescent="0.25">
      <c r="C130" s="69" t="str">
        <v>Support</v>
      </c>
      <c r="D130" s="69"/>
      <c r="E130" s="69"/>
      <c r="F130" s="69"/>
    </row>
    <row r="131" spans="3:6" hidden="1" x14ac:dyDescent="0.25">
      <c r="C131" s="69" t="str">
        <v/>
      </c>
      <c r="D131" s="69"/>
      <c r="E131" s="69"/>
      <c r="F131" s="69"/>
    </row>
    <row r="132" spans="3:6" hidden="1" x14ac:dyDescent="0.25">
      <c r="C132" s="69" t="str">
        <v/>
      </c>
      <c r="D132" s="69"/>
      <c r="E132" s="69"/>
      <c r="F132" s="69"/>
    </row>
    <row r="133" spans="3:6" hidden="1" x14ac:dyDescent="0.25">
      <c r="C133" s="69" t="str">
        <v/>
      </c>
      <c r="D133" s="69"/>
      <c r="E133" s="69"/>
      <c r="F133" s="69"/>
    </row>
    <row r="134" spans="3:6" x14ac:dyDescent="0.25">
      <c r="C134" s="69" t="str">
        <v>HR</v>
      </c>
      <c r="D134" s="69"/>
      <c r="E134" s="69"/>
      <c r="F134" s="69"/>
    </row>
    <row r="135" spans="3:6" hidden="1" x14ac:dyDescent="0.25">
      <c r="C135" s="69" t="str">
        <v/>
      </c>
      <c r="D135" s="69"/>
      <c r="E135" s="69"/>
      <c r="F135" s="69"/>
    </row>
    <row r="136" spans="3:6" hidden="1" x14ac:dyDescent="0.25">
      <c r="C136" s="69" t="str">
        <v/>
      </c>
      <c r="D136" s="69"/>
      <c r="E136" s="69"/>
      <c r="F136" s="69"/>
    </row>
    <row r="137" spans="3:6" x14ac:dyDescent="0.25">
      <c r="C137" s="69" t="str">
        <v>Finance</v>
      </c>
      <c r="D137" s="69"/>
      <c r="E137" s="69"/>
      <c r="F137" s="69"/>
    </row>
    <row r="138" spans="3:6" hidden="1" x14ac:dyDescent="0.25">
      <c r="C138" s="69" t="str">
        <v>Support</v>
      </c>
      <c r="D138" s="69"/>
      <c r="E138" s="69"/>
      <c r="F138" s="69"/>
    </row>
    <row r="139" spans="3:6" hidden="1" x14ac:dyDescent="0.25">
      <c r="C139" s="69" t="str">
        <v/>
      </c>
      <c r="D139" s="69"/>
      <c r="E139" s="69"/>
      <c r="F139" s="69"/>
    </row>
    <row r="140" spans="3:6" hidden="1" x14ac:dyDescent="0.25">
      <c r="C140" s="69" t="str">
        <v/>
      </c>
      <c r="D140" s="69"/>
      <c r="E140" s="69"/>
      <c r="F140" s="69"/>
    </row>
    <row r="141" spans="3:6" hidden="1" x14ac:dyDescent="0.25">
      <c r="C141" s="69" t="str">
        <v/>
      </c>
      <c r="D141" s="69"/>
      <c r="E141" s="69"/>
      <c r="F141" s="69"/>
    </row>
    <row r="142" spans="3:6" hidden="1" x14ac:dyDescent="0.25">
      <c r="C142" s="69" t="str">
        <v/>
      </c>
      <c r="D142" s="69"/>
      <c r="E142" s="69"/>
      <c r="F142" s="69"/>
    </row>
    <row r="143" spans="3:6" hidden="1" x14ac:dyDescent="0.25">
      <c r="C143" s="69" t="str">
        <v/>
      </c>
      <c r="D143" s="69"/>
      <c r="E143" s="69"/>
      <c r="F143" s="69"/>
    </row>
    <row r="144" spans="3:6" hidden="1" x14ac:dyDescent="0.25">
      <c r="C144" s="69" t="str">
        <v/>
      </c>
      <c r="D144" s="69"/>
      <c r="E144" s="69"/>
      <c r="F144" s="69"/>
    </row>
    <row r="145" spans="3:6" hidden="1" x14ac:dyDescent="0.25">
      <c r="C145" s="69" t="str">
        <v/>
      </c>
      <c r="D145" s="69"/>
      <c r="E145" s="69"/>
      <c r="F145" s="69"/>
    </row>
    <row r="146" spans="3:6" x14ac:dyDescent="0.25">
      <c r="C146" s="69" t="str">
        <v>Sales</v>
      </c>
      <c r="D146" s="69"/>
      <c r="E146" s="69"/>
      <c r="F146" s="69"/>
    </row>
    <row r="147" spans="3:6" hidden="1" x14ac:dyDescent="0.25">
      <c r="C147" s="69" t="str">
        <v/>
      </c>
      <c r="D147" s="69"/>
      <c r="E147" s="69"/>
      <c r="F147" s="69"/>
    </row>
    <row r="148" spans="3:6" hidden="1" x14ac:dyDescent="0.25">
      <c r="C148" s="69" t="str">
        <v/>
      </c>
      <c r="D148" s="69"/>
      <c r="E148" s="69"/>
      <c r="F148" s="69"/>
    </row>
    <row r="149" spans="3:6" hidden="1" x14ac:dyDescent="0.25">
      <c r="C149" s="69" t="str">
        <v/>
      </c>
      <c r="D149" s="69"/>
      <c r="E149" s="69"/>
      <c r="F149" s="69"/>
    </row>
    <row r="150" spans="3:6" hidden="1" x14ac:dyDescent="0.25">
      <c r="C150" s="69" t="str">
        <v/>
      </c>
      <c r="D150" s="69"/>
      <c r="E150" s="69"/>
      <c r="F150" s="69"/>
    </row>
    <row r="151" spans="3:6" hidden="1" x14ac:dyDescent="0.25">
      <c r="C151" s="69" t="str">
        <v/>
      </c>
      <c r="D151" s="69"/>
      <c r="E151" s="69"/>
      <c r="F151" s="69"/>
    </row>
    <row r="152" spans="3:6" hidden="1" x14ac:dyDescent="0.25">
      <c r="C152" s="69" t="str">
        <v/>
      </c>
      <c r="D152" s="69"/>
      <c r="E152" s="69"/>
      <c r="F152" s="69"/>
    </row>
    <row r="153" spans="3:6" hidden="1" x14ac:dyDescent="0.25">
      <c r="C153" s="69" t="str">
        <v/>
      </c>
      <c r="D153" s="69"/>
      <c r="E153" s="69"/>
      <c r="F153" s="69"/>
    </row>
    <row r="154" spans="3:6" hidden="1" x14ac:dyDescent="0.25">
      <c r="C154" s="69" t="str">
        <v/>
      </c>
      <c r="D154" s="69"/>
      <c r="E154" s="69"/>
      <c r="F154" s="69"/>
    </row>
    <row r="155" spans="3:6" hidden="1" x14ac:dyDescent="0.25">
      <c r="C155" s="69" t="str">
        <v/>
      </c>
      <c r="D155" s="69"/>
      <c r="E155" s="69"/>
      <c r="F155" s="69"/>
    </row>
    <row r="156" spans="3:6" hidden="1" x14ac:dyDescent="0.25">
      <c r="C156" s="69" t="str">
        <v/>
      </c>
      <c r="D156" s="69"/>
      <c r="E156" s="69"/>
      <c r="F156" s="69"/>
    </row>
    <row r="157" spans="3:6" hidden="1" x14ac:dyDescent="0.25">
      <c r="C157" s="69" t="str">
        <v/>
      </c>
      <c r="D157" s="69"/>
      <c r="E157" s="69"/>
      <c r="F157" s="69"/>
    </row>
    <row r="158" spans="3:6" hidden="1" x14ac:dyDescent="0.25">
      <c r="C158" s="69" t="str">
        <v/>
      </c>
      <c r="D158" s="69"/>
      <c r="E158" s="69"/>
      <c r="F158" s="69"/>
    </row>
    <row r="159" spans="3:6" hidden="1" x14ac:dyDescent="0.25">
      <c r="C159" s="69" t="str">
        <v/>
      </c>
      <c r="D159" s="69"/>
      <c r="E159" s="69"/>
      <c r="F159" s="69"/>
    </row>
    <row r="160" spans="3:6" hidden="1" x14ac:dyDescent="0.25">
      <c r="C160" s="69" t="str">
        <v/>
      </c>
      <c r="D160" s="69"/>
      <c r="E160" s="69"/>
      <c r="F160" s="69"/>
    </row>
    <row r="161" spans="3:6" hidden="1" x14ac:dyDescent="0.25">
      <c r="C161" s="69" t="str">
        <v/>
      </c>
      <c r="D161" s="69"/>
      <c r="E161" s="69"/>
      <c r="F161" s="69"/>
    </row>
    <row r="162" spans="3:6" hidden="1" x14ac:dyDescent="0.25">
      <c r="C162" s="69" t="str">
        <v/>
      </c>
      <c r="D162" s="69"/>
      <c r="E162" s="69"/>
      <c r="F162" s="69"/>
    </row>
    <row r="163" spans="3:6" hidden="1" x14ac:dyDescent="0.25">
      <c r="C163" s="69" t="str">
        <v>Support</v>
      </c>
      <c r="D163" s="69"/>
      <c r="E163" s="69"/>
      <c r="F163" s="69"/>
    </row>
    <row r="164" spans="3:6" hidden="1" x14ac:dyDescent="0.25">
      <c r="C164" s="69" t="str">
        <v/>
      </c>
      <c r="D164" s="69"/>
      <c r="E164" s="69"/>
      <c r="F164" s="69"/>
    </row>
    <row r="165" spans="3:6" hidden="1" x14ac:dyDescent="0.25">
      <c r="C165" s="69" t="str">
        <v/>
      </c>
      <c r="D165" s="69"/>
      <c r="E165" s="69"/>
      <c r="F165" s="69"/>
    </row>
    <row r="166" spans="3:6" hidden="1" x14ac:dyDescent="0.25">
      <c r="C166" s="69" t="str">
        <v/>
      </c>
      <c r="D166" s="69"/>
      <c r="E166" s="69"/>
      <c r="F166" s="69"/>
    </row>
    <row r="167" spans="3:6" hidden="1" x14ac:dyDescent="0.25">
      <c r="C167" s="69" t="str">
        <v/>
      </c>
      <c r="D167" s="69"/>
      <c r="E167" s="69"/>
      <c r="F167" s="69"/>
    </row>
    <row r="168" spans="3:6" hidden="1" x14ac:dyDescent="0.25">
      <c r="C168" s="69" t="str">
        <v/>
      </c>
      <c r="D168" s="69"/>
      <c r="E168" s="69"/>
      <c r="F168" s="69"/>
    </row>
    <row r="169" spans="3:6" hidden="1" x14ac:dyDescent="0.25">
      <c r="C169" s="69" t="str">
        <v/>
      </c>
      <c r="D169" s="69"/>
      <c r="E169" s="69"/>
      <c r="F169" s="69"/>
    </row>
    <row r="170" spans="3:6" hidden="1" x14ac:dyDescent="0.25">
      <c r="C170" s="69" t="str">
        <v/>
      </c>
      <c r="D170" s="69"/>
      <c r="E170" s="69"/>
      <c r="F170" s="69"/>
    </row>
    <row r="171" spans="3:6" hidden="1" x14ac:dyDescent="0.25">
      <c r="C171" s="69" t="str">
        <v/>
      </c>
      <c r="D171" s="69"/>
      <c r="E171" s="69"/>
      <c r="F171" s="69"/>
    </row>
    <row r="172" spans="3:6" hidden="1" x14ac:dyDescent="0.25">
      <c r="C172" s="69" t="str">
        <v/>
      </c>
      <c r="D172" s="69"/>
      <c r="E172" s="69"/>
      <c r="F172" s="69"/>
    </row>
    <row r="173" spans="3:6" hidden="1" x14ac:dyDescent="0.25">
      <c r="C173" s="69" t="str">
        <v/>
      </c>
      <c r="D173" s="69"/>
      <c r="E173" s="69"/>
      <c r="F173" s="69"/>
    </row>
    <row r="174" spans="3:6" hidden="1" x14ac:dyDescent="0.25">
      <c r="C174" s="69" t="str">
        <v/>
      </c>
      <c r="D174" s="69"/>
      <c r="E174" s="69"/>
      <c r="F174" s="69"/>
    </row>
    <row r="175" spans="3:6" hidden="1" x14ac:dyDescent="0.25">
      <c r="C175" s="69" t="str">
        <v/>
      </c>
      <c r="D175" s="69"/>
      <c r="E175" s="69"/>
      <c r="F175" s="69"/>
    </row>
    <row r="176" spans="3:6" hidden="1" x14ac:dyDescent="0.25">
      <c r="C176" s="69" t="str">
        <v/>
      </c>
      <c r="D176" s="69"/>
      <c r="E176" s="69"/>
      <c r="F176" s="69"/>
    </row>
    <row r="177" spans="3:6" hidden="1" x14ac:dyDescent="0.25">
      <c r="C177" s="69" t="str">
        <v/>
      </c>
      <c r="D177" s="69"/>
      <c r="E177" s="69"/>
      <c r="F177" s="69"/>
    </row>
    <row r="178" spans="3:6" hidden="1" x14ac:dyDescent="0.25">
      <c r="C178" s="69" t="str">
        <v/>
      </c>
      <c r="D178" s="69"/>
      <c r="E178" s="69"/>
      <c r="F178" s="69"/>
    </row>
    <row r="179" spans="3:6" hidden="1" x14ac:dyDescent="0.25">
      <c r="C179" s="69" t="str">
        <v/>
      </c>
      <c r="D179" s="69"/>
      <c r="E179" s="69"/>
      <c r="F179" s="69"/>
    </row>
    <row r="180" spans="3:6" x14ac:dyDescent="0.25">
      <c r="C180" s="69" t="str">
        <v>Marketing</v>
      </c>
      <c r="D180" s="69"/>
      <c r="E180" s="69"/>
      <c r="F180" s="69"/>
    </row>
    <row r="181" spans="3:6" hidden="1" x14ac:dyDescent="0.25">
      <c r="C181" s="69" t="str">
        <v/>
      </c>
      <c r="D181" s="69"/>
      <c r="E181" s="69"/>
      <c r="F181" s="69"/>
    </row>
    <row r="182" spans="3:6" hidden="1" x14ac:dyDescent="0.25">
      <c r="C182" s="69" t="str">
        <v/>
      </c>
      <c r="D182" s="69"/>
      <c r="E182" s="69"/>
      <c r="F182" s="69"/>
    </row>
    <row r="183" spans="3:6" hidden="1" x14ac:dyDescent="0.25">
      <c r="C183" s="69" t="str">
        <v/>
      </c>
      <c r="D183" s="69"/>
      <c r="E183" s="69"/>
      <c r="F183" s="69"/>
    </row>
    <row r="184" spans="3:6" hidden="1" x14ac:dyDescent="0.25">
      <c r="C184" s="69" t="str">
        <v/>
      </c>
      <c r="D184" s="69"/>
      <c r="E184" s="69"/>
      <c r="F184" s="69"/>
    </row>
    <row r="185" spans="3:6" hidden="1" x14ac:dyDescent="0.25">
      <c r="C185" s="69" t="str">
        <v/>
      </c>
      <c r="D185" s="69"/>
      <c r="E185" s="69"/>
      <c r="F185" s="69"/>
    </row>
    <row r="186" spans="3:6" hidden="1" x14ac:dyDescent="0.25">
      <c r="C186" s="69" t="str">
        <v/>
      </c>
      <c r="D186" s="69"/>
      <c r="E186" s="69"/>
      <c r="F186" s="69"/>
    </row>
    <row r="187" spans="3:6" hidden="1" x14ac:dyDescent="0.25">
      <c r="C187" s="69" t="str">
        <v>HR</v>
      </c>
      <c r="D187" s="69"/>
      <c r="E187" s="69"/>
      <c r="F187" s="69"/>
    </row>
    <row r="188" spans="3:6" hidden="1" x14ac:dyDescent="0.25">
      <c r="C188" s="69" t="str">
        <v>Finance</v>
      </c>
      <c r="D188" s="69"/>
      <c r="E188" s="69"/>
      <c r="F188" s="69"/>
    </row>
    <row r="189" spans="3:6" hidden="1" x14ac:dyDescent="0.25">
      <c r="C189" s="69" t="str">
        <v/>
      </c>
      <c r="D189" s="69"/>
      <c r="E189" s="69"/>
      <c r="F189" s="69"/>
    </row>
    <row r="190" spans="3:6" hidden="1" x14ac:dyDescent="0.25">
      <c r="C190" s="69" t="str">
        <v/>
      </c>
      <c r="D190" s="69"/>
      <c r="E190" s="69"/>
      <c r="F190" s="69"/>
    </row>
    <row r="191" spans="3:6" hidden="1" x14ac:dyDescent="0.25">
      <c r="C191" s="69" t="str">
        <v/>
      </c>
      <c r="D191" s="69"/>
      <c r="E191" s="69"/>
      <c r="F191" s="69"/>
    </row>
    <row r="192" spans="3:6" hidden="1" x14ac:dyDescent="0.25">
      <c r="C192" s="69" t="str">
        <v>IT</v>
      </c>
      <c r="D192" s="69"/>
      <c r="E192" s="69"/>
      <c r="F192" s="69"/>
    </row>
    <row r="193" spans="3:6" hidden="1" x14ac:dyDescent="0.25">
      <c r="C193" s="69" t="str">
        <v/>
      </c>
      <c r="D193" s="69"/>
      <c r="E193" s="69"/>
      <c r="F193" s="69"/>
    </row>
    <row r="194" spans="3:6" hidden="1" x14ac:dyDescent="0.25">
      <c r="C194" s="69" t="str">
        <v/>
      </c>
      <c r="D194" s="69"/>
      <c r="E194" s="69"/>
      <c r="F194" s="69"/>
    </row>
    <row r="195" spans="3:6" hidden="1" x14ac:dyDescent="0.25">
      <c r="C195" s="69" t="str">
        <v/>
      </c>
      <c r="D195" s="69"/>
      <c r="E195" s="69"/>
      <c r="F195" s="69"/>
    </row>
    <row r="196" spans="3:6" hidden="1" x14ac:dyDescent="0.25">
      <c r="C196" s="69" t="str">
        <v/>
      </c>
      <c r="D196" s="69"/>
      <c r="E196" s="69"/>
      <c r="F196" s="69"/>
    </row>
    <row r="197" spans="3:6" hidden="1" x14ac:dyDescent="0.25">
      <c r="C197" s="69" t="str">
        <v/>
      </c>
      <c r="D197" s="69"/>
      <c r="E197" s="69"/>
      <c r="F197" s="69"/>
    </row>
    <row r="198" spans="3:6" hidden="1" x14ac:dyDescent="0.25">
      <c r="C198" s="69" t="str">
        <v/>
      </c>
      <c r="D198" s="69"/>
      <c r="E198" s="69"/>
      <c r="F198" s="69"/>
    </row>
    <row r="199" spans="3:6" hidden="1" x14ac:dyDescent="0.25">
      <c r="C199" s="69" t="str">
        <v/>
      </c>
      <c r="D199" s="69"/>
      <c r="E199" s="69"/>
      <c r="F199" s="69"/>
    </row>
    <row r="200" spans="3:6" hidden="1" x14ac:dyDescent="0.25">
      <c r="C200" s="69" t="str">
        <v/>
      </c>
      <c r="D200" s="69"/>
      <c r="E200" s="69"/>
      <c r="F200" s="69"/>
    </row>
    <row r="201" spans="3:6" hidden="1" x14ac:dyDescent="0.25">
      <c r="C201" s="69" t="str">
        <v/>
      </c>
      <c r="D201" s="69"/>
      <c r="E201" s="69"/>
      <c r="F201" s="69"/>
    </row>
    <row r="202" spans="3:6" hidden="1" x14ac:dyDescent="0.25">
      <c r="C202" s="69" t="str">
        <v/>
      </c>
      <c r="D202" s="69"/>
      <c r="E202" s="69"/>
      <c r="F202" s="69"/>
    </row>
    <row r="203" spans="3:6" x14ac:dyDescent="0.25">
      <c r="C203" s="69" t="str">
        <v>R&amp;D</v>
      </c>
      <c r="D203" s="69"/>
      <c r="E203" s="69"/>
      <c r="F203" s="69"/>
    </row>
    <row r="204" spans="3:6" hidden="1" x14ac:dyDescent="0.25">
      <c r="C204" s="69" t="str">
        <v/>
      </c>
      <c r="D204" s="69"/>
      <c r="E204" s="69"/>
      <c r="F204" s="69"/>
    </row>
    <row r="205" spans="3:6" hidden="1" x14ac:dyDescent="0.25">
      <c r="C205" s="69" t="str">
        <v/>
      </c>
      <c r="D205" s="69"/>
      <c r="E205" s="69"/>
      <c r="F205" s="69"/>
    </row>
    <row r="206" spans="3:6" hidden="1" x14ac:dyDescent="0.25">
      <c r="C206" s="69" t="str">
        <v/>
      </c>
      <c r="D206" s="69"/>
      <c r="E206" s="69"/>
      <c r="F206" s="69"/>
    </row>
    <row r="207" spans="3:6" hidden="1" x14ac:dyDescent="0.25">
      <c r="C207" s="69" t="str">
        <v/>
      </c>
      <c r="D207" s="69"/>
      <c r="E207" s="69"/>
      <c r="F207" s="69"/>
    </row>
    <row r="208" spans="3:6" hidden="1" x14ac:dyDescent="0.25">
      <c r="C208" s="69" t="str">
        <v/>
      </c>
      <c r="D208" s="69"/>
      <c r="E208" s="69"/>
      <c r="F208" s="69"/>
    </row>
    <row r="209" spans="3:6" hidden="1" x14ac:dyDescent="0.25">
      <c r="C209" s="69" t="str">
        <v/>
      </c>
      <c r="D209" s="69"/>
      <c r="E209" s="69"/>
      <c r="F209" s="69"/>
    </row>
    <row r="210" spans="3:6" hidden="1" x14ac:dyDescent="0.25">
      <c r="C210" s="69" t="str">
        <v/>
      </c>
      <c r="D210" s="69"/>
      <c r="E210" s="69"/>
      <c r="F210" s="69"/>
    </row>
    <row r="211" spans="3:6" hidden="1" x14ac:dyDescent="0.25">
      <c r="C211" s="69" t="str">
        <v/>
      </c>
      <c r="D211" s="69"/>
      <c r="E211" s="69"/>
      <c r="F211" s="69"/>
    </row>
    <row r="212" spans="3:6" hidden="1" x14ac:dyDescent="0.25">
      <c r="C212" s="69" t="str">
        <v/>
      </c>
      <c r="D212" s="69"/>
      <c r="E212" s="69"/>
      <c r="F212" s="69"/>
    </row>
    <row r="213" spans="3:6" hidden="1" x14ac:dyDescent="0.25">
      <c r="C213" s="69" t="str">
        <v/>
      </c>
      <c r="D213" s="69"/>
      <c r="E213" s="69"/>
      <c r="F213" s="69"/>
    </row>
    <row r="214" spans="3:6" hidden="1" x14ac:dyDescent="0.25">
      <c r="C214" s="69" t="str">
        <v/>
      </c>
      <c r="D214" s="69"/>
      <c r="E214" s="69"/>
      <c r="F214" s="69"/>
    </row>
    <row r="215" spans="3:6" hidden="1" x14ac:dyDescent="0.25">
      <c r="C215" s="69" t="str">
        <v/>
      </c>
      <c r="D215" s="69"/>
      <c r="E215" s="69"/>
      <c r="F215" s="69"/>
    </row>
    <row r="216" spans="3:6" hidden="1" x14ac:dyDescent="0.25">
      <c r="C216" s="69" t="str">
        <v/>
      </c>
      <c r="D216" s="69"/>
      <c r="E216" s="69"/>
      <c r="F216" s="69"/>
    </row>
    <row r="217" spans="3:6" hidden="1" x14ac:dyDescent="0.25">
      <c r="C217" s="69" t="str">
        <v/>
      </c>
      <c r="D217" s="69"/>
      <c r="E217" s="69"/>
      <c r="F217" s="69"/>
    </row>
  </sheetData>
  <mergeCells count="12">
    <mergeCell ref="C108:H108"/>
    <mergeCell ref="C117:F117"/>
    <mergeCell ref="C104:H104"/>
    <mergeCell ref="C105:H105"/>
    <mergeCell ref="C106:H106"/>
    <mergeCell ref="C107:H107"/>
    <mergeCell ref="C109:H109"/>
    <mergeCell ref="C110:H110"/>
    <mergeCell ref="C111:H111"/>
    <mergeCell ref="C112:H112"/>
    <mergeCell ref="C113:H113"/>
    <mergeCell ref="C114:H114"/>
  </mergeCells>
  <conditionalFormatting sqref="R2:R101">
    <cfRule type="duplicateValues" dxfId="1" priority="1"/>
    <cfRule type="duplicateValues" dxfId="0"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104B-566B-4EB5-8E60-38B9D45EDF55}">
  <dimension ref="A1:I30"/>
  <sheetViews>
    <sheetView workbookViewId="0">
      <selection activeCell="C37" sqref="C37"/>
    </sheetView>
  </sheetViews>
  <sheetFormatPr defaultRowHeight="15" x14ac:dyDescent="0.25"/>
  <cols>
    <col min="1" max="1" width="18.5703125" bestFit="1" customWidth="1"/>
    <col min="2" max="2" width="14.28515625" bestFit="1" customWidth="1"/>
    <col min="3" max="3" width="25.5703125" bestFit="1" customWidth="1"/>
    <col min="4" max="24" width="26" bestFit="1" customWidth="1"/>
    <col min="25" max="25" width="18.28515625" bestFit="1" customWidth="1"/>
    <col min="26" max="26" width="30.5703125" bestFit="1" customWidth="1"/>
    <col min="27" max="27" width="31" bestFit="1" customWidth="1"/>
    <col min="28" max="42" width="25.5703125" bestFit="1" customWidth="1"/>
    <col min="43" max="43" width="16.42578125" bestFit="1" customWidth="1"/>
    <col min="44" max="44" width="28.7109375" bestFit="1" customWidth="1"/>
    <col min="45" max="72" width="25.5703125" bestFit="1" customWidth="1"/>
    <col min="73" max="73" width="15.28515625" bestFit="1" customWidth="1"/>
    <col min="74" max="74" width="27.5703125" bestFit="1" customWidth="1"/>
    <col min="75" max="94" width="25.5703125" bestFit="1" customWidth="1"/>
    <col min="95" max="95" width="22.85546875" bestFit="1" customWidth="1"/>
    <col min="96" max="96" width="35.140625" bestFit="1" customWidth="1"/>
    <col min="97" max="118" width="25.5703125" bestFit="1" customWidth="1"/>
    <col min="119" max="119" width="24" bestFit="1" customWidth="1"/>
    <col min="120" max="120" width="36.28515625" bestFit="1" customWidth="1"/>
    <col min="121" max="138" width="25.5703125" bestFit="1" customWidth="1"/>
    <col min="139" max="139" width="17.85546875" bestFit="1" customWidth="1"/>
    <col min="140" max="140" width="30.140625" bestFit="1" customWidth="1"/>
    <col min="141" max="156" width="25.5703125" bestFit="1" customWidth="1"/>
    <col min="157" max="157" width="18.7109375" bestFit="1" customWidth="1"/>
    <col min="158" max="158" width="31" bestFit="1" customWidth="1"/>
    <col min="159" max="176" width="25.5703125" bestFit="1" customWidth="1"/>
    <col min="177" max="177" width="21" bestFit="1" customWidth="1"/>
    <col min="178" max="178" width="33.28515625" bestFit="1" customWidth="1"/>
    <col min="179" max="179" width="18.28515625" bestFit="1" customWidth="1"/>
    <col min="180" max="180" width="30.5703125" bestFit="1" customWidth="1"/>
    <col min="181" max="185" width="4" bestFit="1" customWidth="1"/>
    <col min="186" max="187" width="3" bestFit="1" customWidth="1"/>
    <col min="188" max="189" width="4" bestFit="1" customWidth="1"/>
    <col min="190" max="190" width="3" bestFit="1" customWidth="1"/>
    <col min="191" max="195" width="4" bestFit="1" customWidth="1"/>
    <col min="196" max="196" width="3" bestFit="1" customWidth="1"/>
    <col min="197" max="197" width="4" bestFit="1" customWidth="1"/>
    <col min="198" max="198" width="3" bestFit="1" customWidth="1"/>
    <col min="199" max="201" width="4" bestFit="1" customWidth="1"/>
    <col min="202" max="202" width="18.28515625" bestFit="1" customWidth="1"/>
    <col min="203" max="203" width="31" bestFit="1" customWidth="1"/>
  </cols>
  <sheetData>
    <row r="1" spans="1:2" x14ac:dyDescent="0.25">
      <c r="A1" s="71" t="s">
        <v>205</v>
      </c>
      <c r="B1" t="s">
        <v>221</v>
      </c>
    </row>
    <row r="2" spans="1:2" x14ac:dyDescent="0.25">
      <c r="A2" s="71" t="s">
        <v>11</v>
      </c>
      <c r="B2" t="s">
        <v>221</v>
      </c>
    </row>
    <row r="4" spans="1:2" x14ac:dyDescent="0.25">
      <c r="A4" s="71" t="s">
        <v>212</v>
      </c>
      <c r="B4" t="s">
        <v>211</v>
      </c>
    </row>
    <row r="5" spans="1:2" x14ac:dyDescent="0.25">
      <c r="A5" s="72" t="s">
        <v>102</v>
      </c>
      <c r="B5" s="70">
        <v>166207</v>
      </c>
    </row>
    <row r="6" spans="1:2" x14ac:dyDescent="0.25">
      <c r="A6" s="72" t="s">
        <v>43</v>
      </c>
      <c r="B6" s="70">
        <v>290779</v>
      </c>
    </row>
    <row r="7" spans="1:2" x14ac:dyDescent="0.25">
      <c r="A7" s="72" t="s">
        <v>80</v>
      </c>
      <c r="B7" s="70">
        <v>479325</v>
      </c>
    </row>
    <row r="8" spans="1:2" x14ac:dyDescent="0.25">
      <c r="A8" s="72" t="s">
        <v>59</v>
      </c>
      <c r="B8" s="70">
        <v>192658</v>
      </c>
    </row>
    <row r="9" spans="1:2" x14ac:dyDescent="0.25">
      <c r="A9" s="72" t="s">
        <v>51</v>
      </c>
      <c r="B9" s="70">
        <v>179869</v>
      </c>
    </row>
    <row r="10" spans="1:2" x14ac:dyDescent="0.25">
      <c r="A10" s="72" t="s">
        <v>35</v>
      </c>
      <c r="B10" s="70">
        <v>257461</v>
      </c>
    </row>
    <row r="11" spans="1:2" x14ac:dyDescent="0.25">
      <c r="A11" s="72" t="s">
        <v>84</v>
      </c>
      <c r="B11" s="70">
        <v>278190</v>
      </c>
    </row>
    <row r="12" spans="1:2" x14ac:dyDescent="0.25">
      <c r="A12" s="72" t="s">
        <v>27</v>
      </c>
      <c r="B12" s="70">
        <v>46331</v>
      </c>
    </row>
    <row r="13" spans="1:2" x14ac:dyDescent="0.25">
      <c r="A13" s="72" t="s">
        <v>213</v>
      </c>
      <c r="B13" s="70">
        <v>1890820</v>
      </c>
    </row>
    <row r="30" spans="9:9" x14ac:dyDescent="0.25">
      <c r="I30" t="s">
        <v>222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87B0-631A-42F0-A270-90FBB9433707}">
  <dimension ref="A3:C16"/>
  <sheetViews>
    <sheetView workbookViewId="0">
      <selection activeCell="A17" sqref="A17"/>
    </sheetView>
  </sheetViews>
  <sheetFormatPr defaultRowHeight="15" x14ac:dyDescent="0.25"/>
  <cols>
    <col min="1" max="1" width="13.42578125" bestFit="1" customWidth="1"/>
    <col min="2" max="2" width="19.7109375" bestFit="1" customWidth="1"/>
    <col min="3" max="3" width="25" bestFit="1" customWidth="1"/>
  </cols>
  <sheetData>
    <row r="3" spans="1:3" x14ac:dyDescent="0.25">
      <c r="A3" s="71" t="s">
        <v>212</v>
      </c>
      <c r="B3" t="s">
        <v>216</v>
      </c>
      <c r="C3" t="s">
        <v>217</v>
      </c>
    </row>
    <row r="4" spans="1:3" x14ac:dyDescent="0.25">
      <c r="A4" s="72" t="s">
        <v>102</v>
      </c>
      <c r="B4" s="70">
        <v>927774</v>
      </c>
      <c r="C4">
        <v>6.195333333333334</v>
      </c>
    </row>
    <row r="5" spans="1:3" x14ac:dyDescent="0.25">
      <c r="A5" s="72" t="s">
        <v>43</v>
      </c>
      <c r="B5" s="70">
        <v>671988</v>
      </c>
      <c r="C5">
        <v>6.8850000000000007</v>
      </c>
    </row>
    <row r="6" spans="1:3" x14ac:dyDescent="0.25">
      <c r="A6" s="72" t="s">
        <v>80</v>
      </c>
      <c r="B6" s="70">
        <v>976974</v>
      </c>
      <c r="C6">
        <v>6.3377777777777791</v>
      </c>
    </row>
    <row r="7" spans="1:3" x14ac:dyDescent="0.25">
      <c r="A7" s="72" t="s">
        <v>59</v>
      </c>
      <c r="B7" s="70">
        <v>755283</v>
      </c>
      <c r="C7">
        <v>6.6741666666666655</v>
      </c>
    </row>
    <row r="8" spans="1:3" x14ac:dyDescent="0.25">
      <c r="A8" s="72" t="s">
        <v>51</v>
      </c>
      <c r="B8" s="70">
        <v>663114</v>
      </c>
      <c r="C8">
        <v>6.9928571428571447</v>
      </c>
    </row>
    <row r="9" spans="1:3" x14ac:dyDescent="0.25">
      <c r="A9" s="72" t="s">
        <v>35</v>
      </c>
      <c r="B9" s="70">
        <v>442272</v>
      </c>
      <c r="C9">
        <v>6.2344444444444447</v>
      </c>
    </row>
    <row r="10" spans="1:3" x14ac:dyDescent="0.25">
      <c r="A10" s="72" t="s">
        <v>84</v>
      </c>
      <c r="B10" s="70">
        <v>500548</v>
      </c>
      <c r="C10">
        <v>7.3088888888888892</v>
      </c>
    </row>
    <row r="11" spans="1:3" x14ac:dyDescent="0.25">
      <c r="A11" s="72" t="s">
        <v>27</v>
      </c>
      <c r="B11" s="70">
        <v>682913</v>
      </c>
      <c r="C11">
        <v>7.8599999999999994</v>
      </c>
    </row>
    <row r="12" spans="1:3" x14ac:dyDescent="0.25">
      <c r="A12" s="72" t="s">
        <v>213</v>
      </c>
      <c r="B12" s="70">
        <v>5620866</v>
      </c>
      <c r="C12">
        <v>6.7597000000000005</v>
      </c>
    </row>
    <row r="15" spans="1:3" x14ac:dyDescent="0.25">
      <c r="A15" s="72" t="s">
        <v>218</v>
      </c>
    </row>
    <row r="16" spans="1:3" x14ac:dyDescent="0.25">
      <c r="A16" s="72" t="s">
        <v>219</v>
      </c>
    </row>
  </sheetData>
  <conditionalFormatting pivot="1" sqref="B4:B11">
    <cfRule type="top10" dxfId="21" priority="3" rank="1"/>
  </conditionalFormatting>
  <conditionalFormatting pivot="1" sqref="C4:C11">
    <cfRule type="top10" dxfId="20" priority="1" bottom="1" rank="1"/>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187B-7D94-4A63-8202-1923D7085F05}">
  <dimension ref="A3:C8"/>
  <sheetViews>
    <sheetView workbookViewId="0">
      <selection activeCell="B19" sqref="B19"/>
    </sheetView>
  </sheetViews>
  <sheetFormatPr defaultRowHeight="15" x14ac:dyDescent="0.25"/>
  <cols>
    <col min="1" max="1" width="13.42578125" bestFit="1" customWidth="1"/>
    <col min="2" max="2" width="25.5703125" bestFit="1" customWidth="1"/>
    <col min="3" max="3" width="29.85546875" bestFit="1" customWidth="1"/>
  </cols>
  <sheetData>
    <row r="3" spans="1:3" x14ac:dyDescent="0.25">
      <c r="A3" s="71" t="s">
        <v>212</v>
      </c>
      <c r="B3" t="s">
        <v>214</v>
      </c>
      <c r="C3" t="s">
        <v>220</v>
      </c>
    </row>
    <row r="4" spans="1:3" x14ac:dyDescent="0.25">
      <c r="A4" s="72" t="s">
        <v>62</v>
      </c>
      <c r="B4">
        <v>32</v>
      </c>
      <c r="C4">
        <v>6.9375</v>
      </c>
    </row>
    <row r="5" spans="1:3" x14ac:dyDescent="0.25">
      <c r="A5" s="72" t="s">
        <v>54</v>
      </c>
      <c r="B5">
        <v>25</v>
      </c>
      <c r="C5">
        <v>6.4</v>
      </c>
    </row>
    <row r="6" spans="1:3" x14ac:dyDescent="0.25">
      <c r="A6" s="72" t="s">
        <v>30</v>
      </c>
      <c r="B6">
        <v>19</v>
      </c>
      <c r="C6">
        <v>6.7368421052631575</v>
      </c>
    </row>
    <row r="7" spans="1:3" x14ac:dyDescent="0.25">
      <c r="A7" s="72" t="s">
        <v>38</v>
      </c>
      <c r="B7">
        <v>24</v>
      </c>
      <c r="C7">
        <v>7.333333333333333</v>
      </c>
    </row>
    <row r="8" spans="1:3" x14ac:dyDescent="0.25">
      <c r="A8" s="72" t="s">
        <v>213</v>
      </c>
      <c r="B8">
        <v>100</v>
      </c>
      <c r="C8">
        <v>6.86</v>
      </c>
    </row>
  </sheetData>
  <conditionalFormatting pivot="1" sqref="C4:C7">
    <cfRule type="top10" dxfId="19" priority="2" rank="1"/>
  </conditionalFormatting>
  <conditionalFormatting pivot="1" sqref="C4:C7">
    <cfRule type="top10" dxfId="18" priority="1" bottom="1" rank="1"/>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E30E-25D3-4095-A450-5941DE75BC5B}">
  <dimension ref="A3:C12"/>
  <sheetViews>
    <sheetView workbookViewId="0">
      <selection activeCell="N27" sqref="N27"/>
    </sheetView>
  </sheetViews>
  <sheetFormatPr defaultRowHeight="15" x14ac:dyDescent="0.25"/>
  <cols>
    <col min="1" max="1" width="13.42578125" bestFit="1" customWidth="1"/>
    <col min="2" max="2" width="29.85546875" style="73" bestFit="1" customWidth="1"/>
    <col min="3" max="3" width="29.140625" bestFit="1" customWidth="1"/>
    <col min="4" max="8" width="2" bestFit="1" customWidth="1"/>
    <col min="9" max="10" width="3" bestFit="1" customWidth="1"/>
    <col min="11" max="11" width="29.140625" bestFit="1" customWidth="1"/>
    <col min="12" max="18" width="12" bestFit="1" customWidth="1"/>
    <col min="19" max="19" width="5" bestFit="1" customWidth="1"/>
    <col min="20" max="20" width="34.85546875" bestFit="1" customWidth="1"/>
    <col min="21" max="21" width="34.28515625" bestFit="1" customWidth="1"/>
  </cols>
  <sheetData>
    <row r="3" spans="1:3" x14ac:dyDescent="0.25">
      <c r="A3" s="71" t="s">
        <v>212</v>
      </c>
      <c r="B3" s="73" t="s">
        <v>220</v>
      </c>
      <c r="C3" t="s">
        <v>215</v>
      </c>
    </row>
    <row r="4" spans="1:3" x14ac:dyDescent="0.25">
      <c r="A4" s="72" t="s">
        <v>102</v>
      </c>
      <c r="B4" s="73">
        <v>7</v>
      </c>
      <c r="C4" s="73">
        <v>3.8400000000000007</v>
      </c>
    </row>
    <row r="5" spans="1:3" x14ac:dyDescent="0.25">
      <c r="A5" s="72" t="s">
        <v>43</v>
      </c>
      <c r="B5" s="73">
        <v>7.166666666666667</v>
      </c>
      <c r="C5" s="73">
        <v>4.166666666666667</v>
      </c>
    </row>
    <row r="6" spans="1:3" x14ac:dyDescent="0.25">
      <c r="A6" s="72" t="s">
        <v>80</v>
      </c>
      <c r="B6" s="73">
        <v>6.833333333333333</v>
      </c>
      <c r="C6" s="73">
        <v>3.9222222222222221</v>
      </c>
    </row>
    <row r="7" spans="1:3" x14ac:dyDescent="0.25">
      <c r="A7" s="72" t="s">
        <v>59</v>
      </c>
      <c r="B7" s="73">
        <v>6</v>
      </c>
      <c r="C7" s="73">
        <v>4.0166666666666666</v>
      </c>
    </row>
    <row r="8" spans="1:3" x14ac:dyDescent="0.25">
      <c r="A8" s="72" t="s">
        <v>51</v>
      </c>
      <c r="B8" s="73">
        <v>7.7857142857142856</v>
      </c>
      <c r="C8" s="73">
        <v>3.9499999999999997</v>
      </c>
    </row>
    <row r="9" spans="1:3" x14ac:dyDescent="0.25">
      <c r="A9" s="72" t="s">
        <v>35</v>
      </c>
      <c r="B9" s="73">
        <v>5.8888888888888893</v>
      </c>
      <c r="C9" s="73">
        <v>3.8555555555555552</v>
      </c>
    </row>
    <row r="10" spans="1:3" x14ac:dyDescent="0.25">
      <c r="A10" s="72" t="s">
        <v>84</v>
      </c>
      <c r="B10" s="73">
        <v>7.1111111111111107</v>
      </c>
      <c r="C10" s="73">
        <v>4.333333333333333</v>
      </c>
    </row>
    <row r="11" spans="1:3" x14ac:dyDescent="0.25">
      <c r="A11" s="72" t="s">
        <v>27</v>
      </c>
      <c r="B11" s="73">
        <v>6.7272727272727275</v>
      </c>
      <c r="C11" s="73">
        <v>4.1181818181818182</v>
      </c>
    </row>
    <row r="12" spans="1:3" x14ac:dyDescent="0.25">
      <c r="A12" s="72" t="s">
        <v>213</v>
      </c>
      <c r="B12" s="73">
        <v>6.86</v>
      </c>
      <c r="C12">
        <v>4.0070000000000006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871A-B906-40BE-88B9-C0F11CEFF81A}">
  <dimension ref="A1:AF17"/>
  <sheetViews>
    <sheetView workbookViewId="0">
      <selection activeCell="G8" sqref="G8:H8"/>
    </sheetView>
  </sheetViews>
  <sheetFormatPr defaultRowHeight="15" x14ac:dyDescent="0.25"/>
  <cols>
    <col min="6" max="6" width="9.85546875" customWidth="1"/>
    <col min="7" max="7" width="12.7109375" customWidth="1"/>
    <col min="22" max="32" width="0" hidden="1" customWidth="1"/>
  </cols>
  <sheetData>
    <row r="1" spans="1:32" ht="24" x14ac:dyDescent="0.4">
      <c r="A1" s="104" t="s">
        <v>223</v>
      </c>
      <c r="B1" s="105"/>
      <c r="C1" s="105"/>
      <c r="D1" s="105"/>
      <c r="E1" s="105"/>
      <c r="F1" s="105"/>
      <c r="G1" s="105"/>
      <c r="H1" s="105"/>
      <c r="I1" s="105"/>
      <c r="J1" s="105"/>
      <c r="K1" s="105"/>
      <c r="L1" s="105"/>
      <c r="M1" s="105"/>
      <c r="N1" s="105"/>
      <c r="O1" s="105"/>
      <c r="P1" s="105"/>
    </row>
    <row r="2" spans="1:32" x14ac:dyDescent="0.25">
      <c r="A2" s="106" t="s">
        <v>224</v>
      </c>
      <c r="B2" s="106"/>
      <c r="C2" s="106"/>
      <c r="D2" s="106"/>
      <c r="E2" s="106"/>
      <c r="F2" s="106"/>
      <c r="G2" s="106"/>
      <c r="H2" s="106"/>
      <c r="I2" s="106"/>
      <c r="J2" s="106"/>
      <c r="K2" s="106"/>
      <c r="L2" s="106"/>
      <c r="M2" s="106"/>
      <c r="N2" s="106"/>
      <c r="O2" s="106"/>
      <c r="P2" s="106"/>
      <c r="V2" t="s">
        <v>6</v>
      </c>
      <c r="W2" t="s">
        <v>229</v>
      </c>
      <c r="Y2" t="s">
        <v>10</v>
      </c>
      <c r="Z2" t="s">
        <v>228</v>
      </c>
      <c r="AB2" t="s">
        <v>6</v>
      </c>
      <c r="AC2" t="s">
        <v>230</v>
      </c>
      <c r="AE2" t="s">
        <v>19</v>
      </c>
      <c r="AF2" t="s">
        <v>235</v>
      </c>
    </row>
    <row r="3" spans="1:32" x14ac:dyDescent="0.25">
      <c r="A3" s="10"/>
      <c r="B3" s="10"/>
      <c r="C3" s="10"/>
      <c r="D3" s="10"/>
      <c r="E3" s="10"/>
      <c r="F3" s="10"/>
      <c r="G3" s="10"/>
      <c r="H3" s="10"/>
      <c r="I3" s="10"/>
      <c r="J3" s="10"/>
      <c r="K3" s="10"/>
      <c r="L3" s="10"/>
      <c r="M3" s="10"/>
      <c r="N3" s="10"/>
      <c r="O3" s="10"/>
      <c r="P3" s="10"/>
      <c r="V3" t="s">
        <v>80</v>
      </c>
      <c r="W3" s="78">
        <f>SUMIFS(EmployeeTable3[Monthly Sales],EmployeeTable3[Department],V3)</f>
        <v>201752</v>
      </c>
      <c r="Y3" t="s">
        <v>54</v>
      </c>
      <c r="Z3" s="78">
        <f>AVERAGEIFS(EmployeeTable3[Salary],EmployeeTable3[Region],Y3)</f>
        <v>84977.76</v>
      </c>
      <c r="AB3" t="s">
        <v>84</v>
      </c>
      <c r="AC3" s="79">
        <f>AVERAGEIFS(EmployeeTable3[Performance Rating],EmployeeTable3[Department],AB3)</f>
        <v>4.333333333333333</v>
      </c>
      <c r="AE3" t="s">
        <v>236</v>
      </c>
      <c r="AF3" s="77">
        <f>COUNTIF(EmployeeTable3[Promotion Eligibility],AE3)</f>
        <v>54</v>
      </c>
    </row>
    <row r="4" spans="1:32" x14ac:dyDescent="0.25">
      <c r="A4" s="103" t="s">
        <v>227</v>
      </c>
      <c r="B4" s="103"/>
      <c r="C4" s="103" t="s">
        <v>228</v>
      </c>
      <c r="D4" s="103"/>
      <c r="E4" s="103" t="s">
        <v>229</v>
      </c>
      <c r="F4" s="103"/>
      <c r="G4" s="103" t="s">
        <v>230</v>
      </c>
      <c r="H4" s="103"/>
      <c r="I4" s="10"/>
      <c r="J4" s="10"/>
      <c r="K4" s="10"/>
      <c r="L4" s="10"/>
      <c r="M4" s="10"/>
      <c r="N4" s="10"/>
      <c r="O4" s="10"/>
      <c r="P4" s="10"/>
      <c r="V4" t="s">
        <v>102</v>
      </c>
      <c r="W4" s="78">
        <f>SUMIFS(EmployeeTable3[Monthly Sales],EmployeeTable3[Department],V4)</f>
        <v>152924</v>
      </c>
      <c r="Y4" t="s">
        <v>30</v>
      </c>
      <c r="Z4" s="78">
        <f>AVERAGEIFS(EmployeeTable3[Salary],EmployeeTable3[Region],Y4)</f>
        <v>84591.210526315786</v>
      </c>
      <c r="AB4" t="s">
        <v>43</v>
      </c>
      <c r="AC4" s="79">
        <f>AVERAGEIFS(EmployeeTable3[Performance Rating],EmployeeTable3[Department],AB4)</f>
        <v>4.166666666666667</v>
      </c>
      <c r="AE4" t="s">
        <v>237</v>
      </c>
      <c r="AF4" s="77">
        <f>COUNTIF(EmployeeTable3[Promotion Eligibility],AE4)</f>
        <v>46</v>
      </c>
    </row>
    <row r="5" spans="1:32" ht="18.75" x14ac:dyDescent="0.3">
      <c r="A5" s="111">
        <f>COUNTA(EmployeeTable3[Employee ID])</f>
        <v>100</v>
      </c>
      <c r="B5" s="111"/>
      <c r="C5" s="98">
        <f>AVERAGE(EmployeeTable3[Salary])</f>
        <v>82241.990000000005</v>
      </c>
      <c r="D5" s="98"/>
      <c r="E5" s="98">
        <f>SUM(EmployeeTable3[Monthly Sales])</f>
        <v>1039598</v>
      </c>
      <c r="F5" s="98"/>
      <c r="G5" s="112">
        <f>AVERAGE(EmployeeTable3[Performance Rating])</f>
        <v>4.0070000000000014</v>
      </c>
      <c r="H5" s="112"/>
      <c r="I5" s="10"/>
      <c r="J5" s="10"/>
      <c r="K5" s="10"/>
      <c r="L5" s="10"/>
      <c r="M5" s="10"/>
      <c r="N5" s="10"/>
      <c r="O5" s="10"/>
      <c r="P5" s="10"/>
      <c r="V5" t="s">
        <v>59</v>
      </c>
      <c r="W5" s="78">
        <f>SUMIFS(EmployeeTable3[Monthly Sales],EmployeeTable3[Department],V5)</f>
        <v>143585</v>
      </c>
      <c r="Y5" t="s">
        <v>62</v>
      </c>
      <c r="Z5" s="78">
        <f>AVERAGEIFS(EmployeeTable3[Salary],EmployeeTable3[Region],Y5)</f>
        <v>81303.1875</v>
      </c>
      <c r="AB5" t="s">
        <v>27</v>
      </c>
      <c r="AC5" s="79">
        <f>AVERAGEIFS(EmployeeTable3[Performance Rating],EmployeeTable3[Department],AB5)</f>
        <v>4.1181818181818182</v>
      </c>
    </row>
    <row r="6" spans="1:32" x14ac:dyDescent="0.25">
      <c r="A6" s="10"/>
      <c r="B6" s="10"/>
      <c r="C6" s="10"/>
      <c r="D6" s="10"/>
      <c r="E6" s="10"/>
      <c r="F6" s="10"/>
      <c r="G6" s="10"/>
      <c r="H6" s="10"/>
      <c r="I6" s="10"/>
      <c r="J6" s="10"/>
      <c r="K6" s="10"/>
      <c r="L6" s="10"/>
      <c r="M6" s="10"/>
      <c r="N6" s="10"/>
      <c r="O6" s="10"/>
      <c r="P6" s="10"/>
      <c r="V6" t="s">
        <v>51</v>
      </c>
      <c r="W6" s="78">
        <f>SUMIFS(EmployeeTable3[Monthly Sales],EmployeeTable3[Department],V6)</f>
        <v>129540</v>
      </c>
      <c r="Y6" t="s">
        <v>38</v>
      </c>
      <c r="Z6" s="78">
        <f>AVERAGEIFS(EmployeeTable3[Salary],EmployeeTable3[Region],Y6)</f>
        <v>78784.166666666672</v>
      </c>
      <c r="AB6" t="s">
        <v>59</v>
      </c>
      <c r="AC6" s="79">
        <f>AVERAGEIFS(EmployeeTable3[Performance Rating],EmployeeTable3[Department],AB6)</f>
        <v>4.0166666666666666</v>
      </c>
    </row>
    <row r="7" spans="1:32" x14ac:dyDescent="0.25">
      <c r="A7" s="103" t="s">
        <v>231</v>
      </c>
      <c r="B7" s="103"/>
      <c r="C7" s="103" t="s">
        <v>232</v>
      </c>
      <c r="D7" s="103"/>
      <c r="E7" s="103" t="s">
        <v>233</v>
      </c>
      <c r="F7" s="103"/>
      <c r="G7" s="103" t="s">
        <v>234</v>
      </c>
      <c r="H7" s="103"/>
      <c r="I7" s="10"/>
      <c r="J7" s="10"/>
      <c r="K7" s="10"/>
      <c r="L7" s="10"/>
      <c r="M7" s="10"/>
      <c r="N7" s="10"/>
      <c r="O7" s="10"/>
      <c r="P7" s="10"/>
      <c r="V7" t="s">
        <v>43</v>
      </c>
      <c r="W7" s="78">
        <f>SUMIFS(EmployeeTable3[Monthly Sales],EmployeeTable3[Department],V7)</f>
        <v>129411</v>
      </c>
      <c r="AB7" t="s">
        <v>51</v>
      </c>
      <c r="AC7" s="79">
        <f>AVERAGEIFS(EmployeeTable3[Performance Rating],EmployeeTable3[Department],AB7)</f>
        <v>3.9499999999999997</v>
      </c>
    </row>
    <row r="8" spans="1:32" ht="18.75" x14ac:dyDescent="0.3">
      <c r="A8" s="98">
        <f>AVERAGE(EmployeeTable3[Loan Amount])</f>
        <v>56208.66</v>
      </c>
      <c r="B8" s="98"/>
      <c r="C8" s="99">
        <f>COUNTIF(EmployeeTable3[Promotion Eligibility],"Eligible")/COUNTA(EmployeeTable3[Promotion Eligibility])</f>
        <v>0.54</v>
      </c>
      <c r="D8" s="99"/>
      <c r="E8" s="100">
        <f ca="1">AVERAGE(EmployeeTable3[Years with Company])</f>
        <v>6.86</v>
      </c>
      <c r="F8" s="100"/>
      <c r="G8" s="101" t="str">
        <f>INDEX(V3:V10,MATCH(MAX(W3:W10),W3:W10,0))</f>
        <v>IT</v>
      </c>
      <c r="H8" s="101"/>
      <c r="I8" s="10"/>
      <c r="J8" s="10"/>
      <c r="K8" s="10"/>
      <c r="L8" s="10"/>
      <c r="M8" s="10"/>
      <c r="N8" s="10"/>
      <c r="O8" s="10"/>
      <c r="P8" s="10"/>
      <c r="V8" t="s">
        <v>35</v>
      </c>
      <c r="W8" s="78">
        <f>SUMIFS(EmployeeTable3[Monthly Sales],EmployeeTable3[Department],V8)</f>
        <v>105056</v>
      </c>
      <c r="AB8" t="s">
        <v>80</v>
      </c>
      <c r="AC8" s="79">
        <f>AVERAGEIFS(EmployeeTable3[Performance Rating],EmployeeTable3[Department],AB8)</f>
        <v>3.9222222222222221</v>
      </c>
    </row>
    <row r="9" spans="1:32" x14ac:dyDescent="0.25">
      <c r="A9" s="10"/>
      <c r="B9" s="10"/>
      <c r="C9" s="10"/>
      <c r="D9" s="10"/>
      <c r="E9" s="10"/>
      <c r="F9" s="10"/>
      <c r="G9" s="10"/>
      <c r="H9" s="10"/>
      <c r="I9" s="10"/>
      <c r="J9" s="10"/>
      <c r="K9" s="10"/>
      <c r="L9" s="10"/>
      <c r="M9" s="10"/>
      <c r="N9" s="10"/>
      <c r="O9" s="10"/>
      <c r="P9" s="10"/>
      <c r="V9" t="s">
        <v>84</v>
      </c>
      <c r="W9" s="78">
        <f>SUMIFS(EmployeeTable3[Monthly Sales],EmployeeTable3[Department],V9)</f>
        <v>97806</v>
      </c>
      <c r="AB9" t="s">
        <v>35</v>
      </c>
      <c r="AC9" s="79">
        <f>AVERAGEIFS(EmployeeTable3[Performance Rating],EmployeeTable3[Department],AB9)</f>
        <v>3.8555555555555552</v>
      </c>
    </row>
    <row r="10" spans="1:32" x14ac:dyDescent="0.25">
      <c r="A10" s="107" t="s">
        <v>225</v>
      </c>
      <c r="B10" s="108"/>
      <c r="C10" s="108"/>
      <c r="D10" s="108"/>
      <c r="E10" s="108"/>
      <c r="F10" s="108"/>
      <c r="G10" s="108"/>
      <c r="H10" s="108"/>
      <c r="I10" s="108"/>
      <c r="J10" s="108"/>
      <c r="K10" s="108"/>
      <c r="L10" s="108"/>
      <c r="M10" s="108"/>
      <c r="N10" s="108"/>
      <c r="O10" s="108"/>
      <c r="P10" s="108"/>
      <c r="V10" t="s">
        <v>27</v>
      </c>
      <c r="W10" s="78">
        <f>SUMIFS(EmployeeTable3[Monthly Sales],EmployeeTable3[Department],V10)</f>
        <v>79524</v>
      </c>
      <c r="AB10" t="s">
        <v>102</v>
      </c>
      <c r="AC10" s="79">
        <f>AVERAGEIFS(EmployeeTable3[Performance Rating],EmployeeTable3[Department],AB10)</f>
        <v>3.8400000000000007</v>
      </c>
    </row>
    <row r="11" spans="1:32" x14ac:dyDescent="0.25">
      <c r="A11" s="102" t="str">
        <f>"This sheet contains "&amp;TEXT(COUNTA(EmployeeTable3[Employee ID]),"0")&amp;" employee records with fields covering department, region, joining date, salary, bonus, performance, monthly sales, loan balances, promotion eligibility, and years with company."</f>
        <v>This sheet contains 100 employee records with fields covering department, region, joining date, salary, bonus, performance, monthly sales, loan balances, promotion eligibility, and years with company.</v>
      </c>
      <c r="B11" s="102"/>
      <c r="C11" s="102"/>
      <c r="D11" s="102"/>
      <c r="E11" s="102"/>
      <c r="F11" s="102"/>
      <c r="G11" s="102"/>
      <c r="H11" s="102"/>
      <c r="I11" s="102"/>
      <c r="J11" s="102"/>
      <c r="K11" s="102"/>
      <c r="L11" s="102"/>
      <c r="M11" s="102"/>
      <c r="N11" s="102"/>
      <c r="O11" s="102"/>
      <c r="P11" s="102"/>
    </row>
    <row r="12" spans="1:32" x14ac:dyDescent="0.25">
      <c r="A12" s="10"/>
      <c r="B12" s="10"/>
      <c r="C12" s="10"/>
      <c r="D12" s="10"/>
      <c r="E12" s="10"/>
      <c r="F12" s="10"/>
      <c r="G12" s="10"/>
      <c r="H12" s="10"/>
      <c r="I12" s="10"/>
      <c r="J12" s="10"/>
      <c r="K12" s="10"/>
      <c r="L12" s="10"/>
      <c r="M12" s="10"/>
      <c r="N12" s="10"/>
      <c r="O12" s="10"/>
      <c r="P12" s="10"/>
    </row>
    <row r="13" spans="1:32" x14ac:dyDescent="0.25">
      <c r="A13" s="109" t="s">
        <v>226</v>
      </c>
      <c r="B13" s="110"/>
      <c r="C13" s="110"/>
      <c r="D13" s="110"/>
      <c r="E13" s="110"/>
      <c r="F13" s="110"/>
      <c r="G13" s="110"/>
      <c r="H13" s="110"/>
      <c r="I13" s="110"/>
      <c r="J13" s="110"/>
      <c r="K13" s="110"/>
      <c r="L13" s="110"/>
      <c r="M13" s="110"/>
      <c r="N13" s="110"/>
      <c r="O13" s="110"/>
      <c r="P13" s="110"/>
    </row>
    <row r="14" spans="1:32" x14ac:dyDescent="0.25">
      <c r="A14" s="102" t="str">
        <f>"• "&amp;INDEX(V3:V10,MATCH(MAX(W3:W10),W3:W10,0))&amp;" leads all departments in total monthly sales at "&amp;TEXT(MAX(W3:W10),"$#,##0")&amp;"."</f>
        <v>• IT leads all departments in total monthly sales at $201,752.</v>
      </c>
      <c r="B14" s="102"/>
      <c r="C14" s="102"/>
      <c r="D14" s="102"/>
      <c r="E14" s="102"/>
      <c r="F14" s="102"/>
      <c r="G14" s="102"/>
      <c r="H14" s="102"/>
      <c r="I14" s="102"/>
      <c r="J14" s="102"/>
      <c r="K14" s="102"/>
      <c r="L14" s="102"/>
      <c r="M14" s="102"/>
      <c r="N14" s="102"/>
      <c r="O14" s="102"/>
      <c r="P14" s="102"/>
    </row>
    <row r="15" spans="1:32" x14ac:dyDescent="0.25">
      <c r="A15" s="102" t="str">
        <f>"• "&amp;INDEX(Y3:Y6,MATCH(MAX(Z3:Z6),Z3:Z6,0))&amp;" has the highest average salary at "&amp;TEXT(MAX(Z3:Z6),"$#,##0")&amp;"."</f>
        <v>• North has the highest average salary at $84,978.</v>
      </c>
      <c r="B15" s="102"/>
      <c r="C15" s="102"/>
      <c r="D15" s="102"/>
      <c r="E15" s="102"/>
      <c r="F15" s="102"/>
      <c r="G15" s="102"/>
      <c r="H15" s="102"/>
      <c r="I15" s="102"/>
      <c r="J15" s="102"/>
      <c r="K15" s="102"/>
      <c r="L15" s="102"/>
      <c r="M15" s="102"/>
      <c r="N15" s="102"/>
      <c r="O15" s="102"/>
      <c r="P15" s="102"/>
    </row>
    <row r="16" spans="1:32" x14ac:dyDescent="0.25">
      <c r="A16" s="102" t="str">
        <f ca="1">"• Average tenure is "&amp;TEXT(E8,"0.0")&amp;" years, and "&amp;TEXT(C8,"0%")&amp;" of employees are currently marked as promotion eligible."</f>
        <v>• Average tenure is 6.9 years, and 54% of employees are currently marked as promotion eligible.</v>
      </c>
      <c r="B16" s="102"/>
      <c r="C16" s="102"/>
      <c r="D16" s="102"/>
      <c r="E16" s="102"/>
      <c r="F16" s="102"/>
      <c r="G16" s="102"/>
      <c r="H16" s="102"/>
      <c r="I16" s="102"/>
      <c r="J16" s="102"/>
      <c r="K16" s="102"/>
      <c r="L16" s="102"/>
      <c r="M16" s="102"/>
      <c r="N16" s="102"/>
      <c r="O16" s="102"/>
      <c r="P16" s="102"/>
    </row>
    <row r="17" spans="1:16" x14ac:dyDescent="0.25">
      <c r="A17" s="102" t="str">
        <f>"• "&amp;INDEX(AB3:AB10,MATCH(MAX(AC3:AC10),AC3:AC10,0))&amp;" has the highest average performance rating at "&amp;TEXT(MAX(AC3:AC10),"0.00")&amp;"."</f>
        <v>• Sales has the highest average performance rating at 4.33.</v>
      </c>
      <c r="B17" s="102"/>
      <c r="C17" s="102"/>
      <c r="D17" s="102"/>
      <c r="E17" s="102"/>
      <c r="F17" s="102"/>
      <c r="G17" s="102"/>
      <c r="H17" s="102"/>
      <c r="I17" s="102"/>
      <c r="J17" s="102"/>
      <c r="K17" s="102"/>
      <c r="L17" s="102"/>
      <c r="M17" s="102"/>
      <c r="N17" s="102"/>
      <c r="O17" s="102"/>
      <c r="P17" s="102"/>
    </row>
  </sheetData>
  <mergeCells count="25">
    <mergeCell ref="A1:P1"/>
    <mergeCell ref="A2:P2"/>
    <mergeCell ref="A10:P10"/>
    <mergeCell ref="A11:P11"/>
    <mergeCell ref="A13:P13"/>
    <mergeCell ref="A5:B5"/>
    <mergeCell ref="C5:D5"/>
    <mergeCell ref="E5:F5"/>
    <mergeCell ref="G5:H5"/>
    <mergeCell ref="A4:B4"/>
    <mergeCell ref="C4:D4"/>
    <mergeCell ref="E4:F4"/>
    <mergeCell ref="G4:H4"/>
    <mergeCell ref="A7:B7"/>
    <mergeCell ref="C7:D7"/>
    <mergeCell ref="E7:F7"/>
    <mergeCell ref="G7:H7"/>
    <mergeCell ref="A8:B8"/>
    <mergeCell ref="C8:D8"/>
    <mergeCell ref="E8:F8"/>
    <mergeCell ref="G8:H8"/>
    <mergeCell ref="A17:P17"/>
    <mergeCell ref="A15:P15"/>
    <mergeCell ref="A16:P16"/>
    <mergeCell ref="A14:P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Data Set</vt:lpstr>
      <vt:lpstr>Salary &amp; Performance</vt:lpstr>
      <vt:lpstr>Loans by Dept</vt:lpstr>
      <vt:lpstr>Employee Tenure</vt:lpstr>
      <vt:lpstr>Tenure vs Performance</vt:lpstr>
      <vt:lpstr>Data Set Analysis Annex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Debbie Bru</dc:creator>
  <cp:lastModifiedBy>Debbie Bru</cp:lastModifiedBy>
  <dcterms:created xsi:type="dcterms:W3CDTF">2026-05-22T15:04:16Z</dcterms:created>
  <dcterms:modified xsi:type="dcterms:W3CDTF">2026-05-23T22:24:47Z</dcterms:modified>
</cp:coreProperties>
</file>